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71B1A47-F264-4B1F-8DE1-FB1FDDFF6419}" xr6:coauthVersionLast="47" xr6:coauthVersionMax="47" xr10:uidLastSave="{00000000-0000-0000-0000-000000000000}"/>
  <bookViews>
    <workbookView xWindow="-120" yWindow="-120" windowWidth="20730" windowHeight="11160" firstSheet="4" activeTab="8" xr2:uid="{00000000-000D-0000-FFFF-FFFF00000000}"/>
  </bookViews>
  <sheets>
    <sheet name="الرئيسيه" sheetId="10" r:id="rId1"/>
    <sheet name="لجنه التموين" sheetId="11" r:id="rId2"/>
    <sheet name="لجنه البيانات والشؤون الماليه" sheetId="12" r:id="rId3"/>
    <sheet name="لجنه الاعلام والبرنامج والتقنيه" sheetId="13" r:id="rId4"/>
    <sheet name="لجنه الاستقبال والضيافه" sheetId="14" r:id="rId5"/>
    <sheet name="لجنه الساحات والتنظيم" sheetId="16" r:id="rId6"/>
    <sheet name="لجنه الصاله الداخليه" sheetId="15" r:id="rId7"/>
    <sheet name="المساهمات والايداعات والفائض" sheetId="17" r:id="rId8"/>
    <sheet name="المصروفات والايداعات" sheetId="18" r:id="rId9"/>
    <sheet name="أعداد المساهمين من الخوامس" sheetId="19" r:id="rId10"/>
  </sheets>
  <definedNames>
    <definedName name="_xlnm._FilterDatabase" localSheetId="7" hidden="1">'المساهمات والايداعات والفائض'!$A$2:$B$2</definedName>
    <definedName name="_xlnm._FilterDatabase" localSheetId="8" hidden="1">'المصروفات والايداعات'!$A$1:$D$45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4" l="1"/>
  <c r="G29" i="11"/>
</calcChain>
</file>

<file path=xl/sharedStrings.xml><?xml version="1.0" encoding="utf-8"?>
<sst xmlns="http://schemas.openxmlformats.org/spreadsheetml/2006/main" count="711" uniqueCount="472">
  <si>
    <t xml:space="preserve">لجنه البيانات والشؤون الماليه </t>
  </si>
  <si>
    <t>لجنه الاعلام والبرنامج والتقنيه</t>
  </si>
  <si>
    <t>لجنه التموين</t>
  </si>
  <si>
    <t>لجنه الاستقبال والضيافه</t>
  </si>
  <si>
    <t>لجنه الساحات والتنظيم</t>
  </si>
  <si>
    <t>لجنه الصاله الداخليه</t>
  </si>
  <si>
    <t>الرقم</t>
  </si>
  <si>
    <t>المهمه</t>
  </si>
  <si>
    <t>المسؤول</t>
  </si>
  <si>
    <t>الحاله</t>
  </si>
  <si>
    <t>نسبه الانجاز</t>
  </si>
  <si>
    <t>RP-7-2026-038</t>
  </si>
  <si>
    <t>المبلغ</t>
  </si>
  <si>
    <t>مطعم الوقداني</t>
  </si>
  <si>
    <t>RP-7-2026-039</t>
  </si>
  <si>
    <t>RP-7-2026-037</t>
  </si>
  <si>
    <t>مهام لجنه التموين</t>
  </si>
  <si>
    <t>حراج دويخ مدوخ الشلوي</t>
  </si>
  <si>
    <t>RP-7-2026-036</t>
  </si>
  <si>
    <t>RP-7-2026-033</t>
  </si>
  <si>
    <t xml:space="preserve">مجاهد العتيبي </t>
  </si>
  <si>
    <t>قاعه نور الامين</t>
  </si>
  <si>
    <t>اسم صاحب الحساب</t>
  </si>
  <si>
    <t>كمال عبد المغني محمد امين</t>
  </si>
  <si>
    <t>سوسن احمد محمد الوقداني</t>
  </si>
  <si>
    <t xml:space="preserve">محمد دايخ مدوخ الشلوي </t>
  </si>
  <si>
    <t>محمد مرزوق عايض المقاطي العتيبي</t>
  </si>
  <si>
    <t xml:space="preserve">عبدالله النوفلي </t>
  </si>
  <si>
    <t>RP-7-2026-027</t>
  </si>
  <si>
    <t>افراح المملكه</t>
  </si>
  <si>
    <t>RP-7-2026-028</t>
  </si>
  <si>
    <t>RP-7-2026-021</t>
  </si>
  <si>
    <t xml:space="preserve">صورني </t>
  </si>
  <si>
    <t>معتمد</t>
  </si>
  <si>
    <t>RP-7-2026-022</t>
  </si>
  <si>
    <t>RP-7-2026-031</t>
  </si>
  <si>
    <t xml:space="preserve">حراس امن </t>
  </si>
  <si>
    <t>RP-7-2026-032</t>
  </si>
  <si>
    <t>RP-7-2026-030</t>
  </si>
  <si>
    <t>RP-7-2026-029</t>
  </si>
  <si>
    <t xml:space="preserve">شركه ابداعات الاعلاميه </t>
  </si>
  <si>
    <t xml:space="preserve">معتمد </t>
  </si>
  <si>
    <t xml:space="preserve">لمسات ملكه </t>
  </si>
  <si>
    <t>RP-7-2026-026</t>
  </si>
  <si>
    <t xml:space="preserve">الملكه وجود </t>
  </si>
  <si>
    <t xml:space="preserve">خلود ظافر ابراهيم الدوسري </t>
  </si>
  <si>
    <t>RP-7-2026-025</t>
  </si>
  <si>
    <t>RP-7-2026-024</t>
  </si>
  <si>
    <t xml:space="preserve">التاج العنابي للاعاشه والتموين </t>
  </si>
  <si>
    <t>RP-7-2026-023</t>
  </si>
  <si>
    <t xml:space="preserve">مؤسسه لمسات فرحه الهدايا </t>
  </si>
  <si>
    <t xml:space="preserve">الاجمالي </t>
  </si>
  <si>
    <t>أخذ عروض أسعار من موردي الإعاشة والتفاوض</t>
  </si>
  <si>
    <t>لجنة التموين</t>
  </si>
  <si>
    <t>تقدير عدد الوجبات وحصر احتياجات الإعاشة المتنوعة</t>
  </si>
  <si>
    <t>2026-06-13 06:00</t>
  </si>
  <si>
    <t>التواصل مع جهات خيرية للاستفادة من فائض الطعام</t>
  </si>
  <si>
    <t>2026-06-24 06:00</t>
  </si>
  <si>
    <t>تأكيد الوجبات مع المورد والتحقق من الكميات</t>
  </si>
  <si>
    <t>2026-07-03 06:00</t>
  </si>
  <si>
    <t>اختيار مورد الإعاشة وتوقيع العقد وشراء الذبائح</t>
  </si>
  <si>
    <t>2026-07-13 06:00</t>
  </si>
  <si>
    <t>تأكيد كميات الطعام ومواصفاته ومواعيد التسليم</t>
  </si>
  <si>
    <t>2026-07-17 06:00</t>
  </si>
  <si>
    <t>متابعة المياه والمشروبات والإشراف على تقديم الوجبات</t>
  </si>
  <si>
    <t>2026-07-24 06:00</t>
  </si>
  <si>
    <t>الإشراف على الطباخين ومتابعة جودة الطعام وتجهيز مائدة العشاء</t>
  </si>
  <si>
    <t>التقرير النهائي</t>
  </si>
  <si>
    <t>2026-07-31 08:26</t>
  </si>
  <si>
    <t>رفع أوامر الصرف</t>
  </si>
  <si>
    <t>اللجنه</t>
  </si>
  <si>
    <t>الموعد</t>
  </si>
  <si>
    <t>إعداد الميزانية التقديرية واعتمادها من اللجنة الإشرافية</t>
  </si>
  <si>
    <t>لجنة البيانات والشؤون المالية</t>
  </si>
  <si>
    <t>2026-05-10 06:00</t>
  </si>
  <si>
    <t>إعداد قائمة العرسان وتسجيل بيانات التواصل لكل شخص</t>
  </si>
  <si>
    <t>2026-05-12 06:00</t>
  </si>
  <si>
    <t>إعداد قائمة المشمولين بالمساهمة وتسجيل المبلغ المستحق</t>
  </si>
  <si>
    <t>2026-05-14 06:00</t>
  </si>
  <si>
    <t>إطلاق حملة التحصيل وإرسال إشعارات المساهمة</t>
  </si>
  <si>
    <t>2026-06-03 06:00</t>
  </si>
  <si>
    <t>متابعة الإيداعات البنكية ومطابقتها مع كشف الحساب</t>
  </si>
  <si>
    <t>2026-06-11 06:00</t>
  </si>
  <si>
    <t>تسجيل حالة كل مساهم (مسدد / جزئي / غير مسدد)</t>
  </si>
  <si>
    <t>2026-06-16 06:00</t>
  </si>
  <si>
    <t>تسجيل جميع المصروفات والفواتير في سجل موحد</t>
  </si>
  <si>
    <t>2026-07-19 06:00</t>
  </si>
  <si>
    <t>مراجعة جاهزية اللجان وحصر النواقص</t>
  </si>
  <si>
    <t>2026-07-22 06:00</t>
  </si>
  <si>
    <t>توزيع فائض مساهمات الداعمين لحفل الزواج الجماعي الثاني عشر  على العرسان بالتساوي</t>
  </si>
  <si>
    <t/>
  </si>
  <si>
    <t>2026-07-31 10:30</t>
  </si>
  <si>
    <t>إعداد التقرير المالي الختامي</t>
  </si>
  <si>
    <t>2026-08-10 06:00</t>
  </si>
  <si>
    <t>إعداد التقرير الإداري الختامي وتقرير يوم الفعالية</t>
  </si>
  <si>
    <t>2026-08-12 06:00</t>
  </si>
  <si>
    <t>المهمة</t>
  </si>
  <si>
    <t>اللجنة</t>
  </si>
  <si>
    <t>إعداد برنامج الحفل وفقراته وترتيب الكلمات والمشاركات</t>
  </si>
  <si>
    <t>الإعلام والبرنامج والتقنية</t>
  </si>
  <si>
    <t>إعداد الهوية البصرية والمواد الإعلامية الأولية</t>
  </si>
  <si>
    <t>2026-06-17 06:00</t>
  </si>
  <si>
    <t>إعداد المواد الإعلامية المعتمدة (لوحات — عبارات ترحيبية-بطاقات اللجان)</t>
  </si>
  <si>
    <t>2026-06-19 06:00</t>
  </si>
  <si>
    <t>إعداد لوحة صور العرسان بعد موافقتهم</t>
  </si>
  <si>
    <t>2026-07-16 06:00</t>
  </si>
  <si>
    <t>اعتماد برنامج الحفل والتوزيع النهائي للمهام</t>
  </si>
  <si>
    <t>تجهيز المسرح والصوتيات والشاشات</t>
  </si>
  <si>
    <t>2026-07-23 06:00</t>
  </si>
  <si>
    <t>إجراء تجربة كاملة للصوتيات والشاشات قبل الحفل</t>
  </si>
  <si>
    <t>التوثيق المصور والمرئي الكامل للحفل</t>
  </si>
  <si>
    <t>إدارة البرنامج والمسيرة والإشراف على مقدم الحفل</t>
  </si>
  <si>
    <t>احضار خيول وقت دخول العرسان للقصر وعمل موكب بالخيول اثناء النقل الاعلامي</t>
  </si>
  <si>
    <t>2026-07-24 16:51</t>
  </si>
  <si>
    <t>كسوة شعراء العرضة والزير</t>
  </si>
  <si>
    <t>2026-07-24 18:25</t>
  </si>
  <si>
    <t>2026-07-31 08:24</t>
  </si>
  <si>
    <t>2026-07-31 09:24</t>
  </si>
  <si>
    <t>حصر مبالغ النثريات</t>
  </si>
  <si>
    <t>2026-07-31 12:12</t>
  </si>
  <si>
    <t>رسم خطة كاملة عن كيفية الاستقبال والضيافة</t>
  </si>
  <si>
    <t>لجنة الاستقبال والضيافة</t>
  </si>
  <si>
    <t>2026-06-13 11:34</t>
  </si>
  <si>
    <t>التنسيق مع لجنة الساحة والتنظيم في رسم الخطة وتنفيذها</t>
  </si>
  <si>
    <t>2026-06-13 11:47</t>
  </si>
  <si>
    <t>مراجعة نهائية لقوائم العرسان والضيوف</t>
  </si>
  <si>
    <t>فرش وكراسي وطاولات خدمة وحواجز وممرات</t>
  </si>
  <si>
    <t>2026-07-19 19:17</t>
  </si>
  <si>
    <t>تدريب فريق الاستقبال على بروتوكول الضيافة</t>
  </si>
  <si>
    <t>الإشراف على مقدمي الضيافة (قهوة — شاي — تمر — حلويات)</t>
  </si>
  <si>
    <t>إعداد قائمة الضيوف وكبار الشخصيات وتجهيز أماكنهم</t>
  </si>
  <si>
    <t>استقبال الضيوف والعرسان وتنظيم الدخول</t>
  </si>
  <si>
    <t>استقبال كبار السن وضيوف الشرف وتوجيههم لأماكنهم</t>
  </si>
  <si>
    <t>تنظيم الصفوف</t>
  </si>
  <si>
    <t>2026-07-24 17:28</t>
  </si>
  <si>
    <t>إرسال التقرير النهائي لرئيس البرنامج</t>
  </si>
  <si>
    <t>2026-07-25 11:49</t>
  </si>
  <si>
    <t>2026-07-31 09:28</t>
  </si>
  <si>
    <t>رسم المخطط الأولي للساحات</t>
  </si>
  <si>
    <t>لجنة الساحات والتنظيم</t>
  </si>
  <si>
    <t>2026-05-27 06:00</t>
  </si>
  <si>
    <t>إعداد خطة الطوارئ ومراجعة مسارات الإخلاء</t>
  </si>
  <si>
    <t>الأمن والسلامة</t>
  </si>
  <si>
    <t>2026-07-23 21:00</t>
  </si>
  <si>
    <t>المحافظة على مسارات الطوارئ والتعامل مع الملاحظات</t>
  </si>
  <si>
    <t>تنظيم دخول وخروج العرسان وكبار الشخصيات</t>
  </si>
  <si>
    <t>2026-07-31 08:32</t>
  </si>
  <si>
    <t>التنسيق مع لجنة التموين للتواصل مع جهات خيرية للاستفادة من فائض الطعام .</t>
  </si>
  <si>
    <t>لجنة الصالة الداخلية</t>
  </si>
  <si>
    <t>2026-07-18 06:00</t>
  </si>
  <si>
    <t>الإشراف على تجهيز وتنظيم بوفيه العشاء وضمان جودة الخدمة</t>
  </si>
  <si>
    <t>2026-07-23 21:41</t>
  </si>
  <si>
    <t>إدارة أمن الصالة الداخلية وتنظيم الدخول والخروج والحفاظ على خصوصية وسلامة الحضور</t>
  </si>
  <si>
    <t>2026-07-23 21:43</t>
  </si>
  <si>
    <t>متابعة الخدمات الداخلية وتنظيم الجلوس ومتابعة النظافة</t>
  </si>
  <si>
    <t>التأكد من توفر المياه والمشروبات والاحتياجات ومعالجة الملاحظات بالتنسيق مع لجنة التموين</t>
  </si>
  <si>
    <t>إعداد التقرير النهائي وتسليمه لنائب رئيس البرنامج</t>
  </si>
  <si>
    <t>2026-07-24 21:44</t>
  </si>
  <si>
    <t>2026-07-31 09:27</t>
  </si>
  <si>
    <t xml:space="preserve">مهام لجنه البيانات والشؤون الماليه </t>
  </si>
  <si>
    <t>مهام لجنه الاعلام والبرنامج والتقنيه</t>
  </si>
  <si>
    <t>مهام لجنه الاستقبال والضيافه</t>
  </si>
  <si>
    <t>مهام لجنه الساحات والتنظيم</t>
  </si>
  <si>
    <t>مهام لجنه الصاله الداخليه</t>
  </si>
  <si>
    <t>RP-7-2026-034</t>
  </si>
  <si>
    <t>منصات قاسي السبيعي</t>
  </si>
  <si>
    <t>خطاط نور الطائف</t>
  </si>
  <si>
    <t>جزاع المري</t>
  </si>
  <si>
    <t xml:space="preserve">أمر صرف PR-7-2026-012 </t>
  </si>
  <si>
    <t xml:space="preserve">أمر صرف PR-7-2026-008 </t>
  </si>
  <si>
    <t>أمر صرف PR-7-2026-011</t>
  </si>
  <si>
    <t xml:space="preserve">أمر صرف PR-7-2026-010 </t>
  </si>
  <si>
    <t xml:space="preserve">أمر صرف PR-7-2026-004 </t>
  </si>
  <si>
    <t xml:space="preserve">أمر صرف PR-7-2026-014 </t>
  </si>
  <si>
    <t xml:space="preserve">أمر صرف PR-7-2026-016 </t>
  </si>
  <si>
    <t xml:space="preserve">أمر صرف PR-7-2026-015 </t>
  </si>
  <si>
    <t>مؤسسة حروف للدعاية والإعلان</t>
  </si>
  <si>
    <t xml:space="preserve">أمر صرف PR-7-2026-017 </t>
  </si>
  <si>
    <t>Name-1: عادل حمود حمدان النوفلى الحارثى/Name-2: عادل حمود حمدان النو/CA: 266000010006080099785</t>
  </si>
  <si>
    <t>Name-1: عطيه حمدان ساعد النوفلي الحارثي/Name-2: عطيه حمدان ساعد النو/CA: 377000010006080062920</t>
  </si>
  <si>
    <t>Name-1: علء محمد علي الموسي الحارثي/Name-2: علء/CA: 130000010006085625844</t>
  </si>
  <si>
    <t>20260614SANCBKNCBK2B82811459584207/نوفل عبدالملك حاسن الحارثي</t>
  </si>
  <si>
    <t>Name-1: محمد حامد مسعود النوفلي الحارثي/Name-2: محمد حامد مسعود النو/CA: 526000010006080098940</t>
  </si>
  <si>
    <t>Name-1: رعد سفر عايض  الحارثي/Name-2: رعد/CA: 077080010006082009932</t>
  </si>
  <si>
    <t>Name-1: سلطان ساعد مسعود النوفلي الحارثي/Name-2: سلطان/CA: 314000010006080377704</t>
  </si>
  <si>
    <t>Name-1: عبدالعزيز معيض مصلح الحارثي/Name-2: عبدالعزيز/CA: 077050010006086088331</t>
  </si>
  <si>
    <t>Name-1: ابراهيم سعد ابراهيم النوفلي الحارثي/Name-2: ابراهيم سعد ابراهيم /CA: 326000010006080434105</t>
  </si>
  <si>
    <t>20260617SAINMAINMA2BXXX12159106141/FAHAD SIFRAN MOHAMMED ALHARTHI</t>
  </si>
  <si>
    <t>Name-1: حاتم سعد محمد الحارثي/Name-2: حاتم سعد محمد الحارث/CA: 103000010006086372670</t>
  </si>
  <si>
    <t>Name-1: عبدالكريم عبدالله خضر النوفلي الحار/Name-2: عبدالكريم عبدالله خض/CA: 382000010006080123303</t>
  </si>
  <si>
    <t>Name-1: مشهور صالح محمد الحارثي/Name-2: مشهور/CA: 201000010006080449624</t>
  </si>
  <si>
    <t>Name-1: رده بن سعيد بن رده النوفلي الحارثي/Name-2: رده بن سعيد بن رده/CA: 361000010006080036849</t>
  </si>
  <si>
    <t>Name-1: عطيه عايض سفر الحارثي بحوث التسويق /Name-2: عطيه عايضسفر الحارثي/CA: 109000010006087196361</t>
  </si>
  <si>
    <t>Name-1: خالد عبدالرحمن عايض  النوفلي الحارث/Name-2: خالد/CA: 658000010006086777778</t>
  </si>
  <si>
    <t>Name-1: محمد عبدالعزيز عيضه النوفلي الحارثي/Name-2: محمد/CA: 564000010006080112033</t>
  </si>
  <si>
    <t>تحويل فيصل مشيلح عيضه الحارثي / مساهمة المشالحة لحفل الزواج الجماعي لقبيلة النوافله</t>
  </si>
  <si>
    <t>Name-1: سيف جارالله حمدان النوفلي الحارثي/Name-2: سيف/CA: 112000010006080445133</t>
  </si>
  <si>
    <t>Name-1: سيف سعيد عواض  النوفلي الحارثي/Name-2: سيف سعيد عواض  النوف/CA: 199000010006080238831</t>
  </si>
  <si>
    <t>20260628SABSFRBSFR6B98110721502802/WAFI SALEH SALEM ALHARTHI</t>
  </si>
  <si>
    <t>20260628SAALBIALBI2B12011015483208/ALI FAEZY ALHARTHI</t>
  </si>
  <si>
    <t>20260628SANCBKNCBK2B82811832608675/فهد دخيل الله مخضور الحارثي</t>
  </si>
  <si>
    <t>Name-1: عبدالعزيز عبدالملك حاسن النوفلي الح/Name-2: عبدالعزيز عبدالملك ح/CA: 335000010006089346820</t>
  </si>
  <si>
    <t>Name-1: هليل خلف الله جارالله النوفلي الحار/Name-2: هليل خلف الله جارالل/CA: 112000010006080413123</t>
  </si>
  <si>
    <t>Name-1: تركي سعد احمد النوفلي الحارثي/Name-2: تركي سعد احمد النوفل/CA: 551000010006080004995</t>
  </si>
  <si>
    <t>20260629SANCBKNCBK2B82811116862410/صالح احمد سليم الحارثي</t>
  </si>
  <si>
    <t>Name-1: سلطان محمد خلف النوفلي الحارثي/Name-2: سلطان محمد خلف النوف/CA: 382000010006080011490</t>
  </si>
  <si>
    <t>Name-1: سامي علي عبدالعالي الحارثي/Name-2: سامي/CA: 335000010006080341457</t>
  </si>
  <si>
    <t>Name-1: مشعل ساعد سعد النوفلي الحارثي/Name-2: مشعل ساعد سعد النوفل/CA: 382000010006080053898</t>
  </si>
  <si>
    <t>من حساب فهد عيضة عواض النوفلي الحارثي $251000010006080187710</t>
  </si>
  <si>
    <t>Name-1: يوسف مصلح عواض الحارثي/Name-2: يوسف/CA: 694000010006086020548</t>
  </si>
  <si>
    <t>Name-1: سعد حمود حامد الحارثي/Name-2: سعد/CA: 608000010006086026466</t>
  </si>
  <si>
    <t>Name-1: عواض  سراج لفي النوفلي الحارثي/Name-2: عواض  سراج لفي/CA: 449000010006080033842</t>
  </si>
  <si>
    <t>20260701SANCBKNCBK2B82810559829263/TALAL KHADER EIDHAH ALHARTHI</t>
  </si>
  <si>
    <t>20260701SABJAZBJAZ2BTMS11033178284/SULTAN TALAL KHADER ALHARTHI</t>
  </si>
  <si>
    <t>20260701SANCBKNCBK2B82811123581430/خالد محمد عواض الحارثي</t>
  </si>
  <si>
    <t>Name-1: حميد دخيل الله محمد النوفلي الحارثي/Name-2: حميد دخيل الله محمد /CA: 361000010006080055658</t>
  </si>
  <si>
    <t>20260701SANCBKNCBK2B82811536410636/مستور ابن عواض ابن رده الحارثي</t>
  </si>
  <si>
    <t>Name-1: مهند عبدالله مخضور النوفلي الحارثي/Name-2: مهند عبدالله مخضور ا/CA: 232000010006080428803</t>
  </si>
  <si>
    <t>Name-1: علي محمد خضر النوفلي الحارثي/Name-2: علي محمد خضر النوفلي/CA: 236000010006080154371</t>
  </si>
  <si>
    <t>Name-1: جارالله عبدالله خضر النوفلي الحارثي/Name-2: جارالله/CA: 077010110006087698826</t>
  </si>
  <si>
    <t>Name-1: صالح عبدالله خضر النوفلي الحارثي/Name-2: صالح عبدالله خضر الن/CA: 382000010006080052866</t>
  </si>
  <si>
    <t>Name-1: سلطان لفي عواض  النوافله الحارثي/Name-2: سلطان لفي عواض  النو/CA: 361000010006080028135</t>
  </si>
  <si>
    <t>Name-1: ريان مشعل علي النوفلي الحارثي/Name-2: ريان مشعل علي النوفل/CA: 232000010006080481257</t>
  </si>
  <si>
    <t>Name-1: نواف دخيل الله سعيد النوفلي الحارثي/Name-2: نواف دخيل الله سعيد /CA: 199000010006080193705</t>
  </si>
  <si>
    <t>Name-1: نواف عبدالله حامد الحارثي/Name-2: نواف عبدالله حامد ال/CA: 694000010006087033870</t>
  </si>
  <si>
    <t>Name-1: علي سعود سعد النوفلي الحارثي/Name-2: علي سعود سعد النوفلي/CA: 200000010006080071734</t>
  </si>
  <si>
    <t>20260702SANCBKNCBK2B82812111829314/تركي حسن ملفي الحارثي</t>
  </si>
  <si>
    <t>Name-1: عبدالعزيز محمد بن سفران الحارثي/Name-2: عبدالعزيز/CA: 463000010006086167413</t>
  </si>
  <si>
    <t>Name-1: ناصر بن حامد بن جابر النوفلي الحارث/Name-2: ناصر بن حامد بن جابر/CA: 555000010006080005766</t>
  </si>
  <si>
    <t>Name-1: عبدالله ملفي عواض  النوافله الحارثي/Name-2: عبدالله ملفي عواض  ا/CA: 471000010006080076560</t>
  </si>
  <si>
    <t>Name-1: نايف حامد سعيد الحارثي/Name-2: نايف/CA: 199000010006086018799</t>
  </si>
  <si>
    <t>Name-1: سعد مسعود حمدان النوفلي الحارثي/Name-2: سعد مسعود حمدان النو/CA: 381000010006080033495</t>
  </si>
  <si>
    <t>20260703SAARNBARNB1B31012000448504/MUSLIH AWADH ALHARTHI</t>
  </si>
  <si>
    <t>Name-1: سفر حسين عايض  النوفلي الحارثي/Name-2: سفر/CA: 201000010006080283585</t>
  </si>
  <si>
    <t>Name-1: خالد سعيد علي الحارثي/Name-2: خالد سعيد علي الحارث/CA: 547000010006080542116</t>
  </si>
  <si>
    <t>Name-1: راشد عبدالله شايع النوفلي الحارثي/Name-2: راشد/CA: 585000010006080222209</t>
  </si>
  <si>
    <t>Name-1: سلطان سعد حامد النوفلي الحارثي/Name-2: سلطان/CA: 382000010006080060398</t>
  </si>
  <si>
    <t>Name-1: ساره عبدالعزيز سعد الحارثي/Name-2: ساره/CA: 379000010006086344726</t>
  </si>
  <si>
    <t>Name-1: عادل حمدان سعد النوفليي/Name-2: عادل حمدان سعد/CA: 199000010006080124510</t>
  </si>
  <si>
    <t>Name-1: رامي عبدالرحمن سعد النوفلي الحارثي/Name-2: رامي/CA: 171000010006080074147</t>
  </si>
  <si>
    <t>Name-1: منصور عابد محمد النوفلي الحارثي/Name-2: منصور عابد محمد النو/CA: 375000010006080057005</t>
  </si>
  <si>
    <t>20260705SANCBKNCBK2B82811620857675/مالك ساعد سعيد الحارثي</t>
  </si>
  <si>
    <t>Name-1: سعيد عايض  خضر النوفلي الحارثي/Name-2: سعيد/CA: 379000010006080307513</t>
  </si>
  <si>
    <t>من حساب فهد سعد حامد النوفلي الحارثي $382000010006080060604</t>
  </si>
  <si>
    <t>Name-1: محمد ضيف الله عايض النوفلي الحارثي/Name-2: محمد/CA: 444000010006086005336</t>
  </si>
  <si>
    <t>20260706SANCBKNCBK2B82811707327273/عبدالعالي علي عبدالعالي الحارثي</t>
  </si>
  <si>
    <t>20260706SANCBKNCBK2B82812018813644/امبارك خضر امبارك الحارثي</t>
  </si>
  <si>
    <t>Name-1: علي محمد عايض  النوفلي الحارثي/Name-2: علي محمد عايض  النوف/CA: 199000010006080136480</t>
  </si>
  <si>
    <t>Name-1: متعب مسعود عائض  النوفلي الحارثي/Name-2: متعب مسعود عائض  الن/CA: 377000010006080076557</t>
  </si>
  <si>
    <t>Name-1: عبدالله محمد جارالله النوفلي الحارث/Name-2: عبدالله محمد جارالله/CA: 112000010006080384241</t>
  </si>
  <si>
    <t>Name-1: عايض  عيضه عايض  النوفلي الحارثي/Name-2: عايض  عيضه عايض  الن/CA: 382000010006080049409</t>
  </si>
  <si>
    <t>Name-1: فهد سعد عواض النوفلي الحارثي/Name-2: فهد سعد عواض /CA: 112000010006080383110</t>
  </si>
  <si>
    <t>Name-1: عبدالله سالم عبدالله النوفلي الحارث/Name-2: عبدالله سالم عبدالله/CA: 591000010006080077266</t>
  </si>
  <si>
    <t>من حساب فايز سفر عيضه النوفلي الحارثي $463000010006080185064</t>
  </si>
  <si>
    <t>Name-1: عبدالله عوض  عواض  النوفلي الحارثي/Name-2: عبدالله/CA: 526000010006080050958</t>
  </si>
  <si>
    <t>Name-1: علي سعد علي النوفلي الحارثي/Name-2: علي سعد علي النوفلي /CA: 232000160006080438172</t>
  </si>
  <si>
    <t>Name-1: احمد ابراهيم مسفر النوفلي الحارثي/Name-2: احمد/CA: 608000010006080426548</t>
  </si>
  <si>
    <t>Name-1: خالد قليل علوان النوفلي الحارثي/Name-2: خالد قليل علوان النو/CA: 382000010006080078481</t>
  </si>
  <si>
    <t>Name-1: النوفلى الحارثي فواز دخيل الله محمد/Name-2: فواز/CA: 232000010006080188233</t>
  </si>
  <si>
    <t>Name-1: صالح عوض عواض النوفلي الحارثي/Name-2: صالح عوض  عواض  النو/CA: 184000010006080032371</t>
  </si>
  <si>
    <t>Name-1: صالح مسفر عواض  النوفلي الحارثي/Name-2: صالح مسفر عواض  النو/CA: 608000160006080541955</t>
  </si>
  <si>
    <t>Name-1: عزيز دخيل الله سليم النوفلي الحارثي/Name-2: عزيز دخيل الله سليم /CA: 538000010006089698019</t>
  </si>
  <si>
    <t>Name-1: عادل تركي علوان النوفلي الحارثي/Name-2: عادل تركي علوان النو/CA: 343000160006080256513</t>
  </si>
  <si>
    <t>من حساب عبدالله عواض  رده النوفلي الحارثي $199000010006080192350</t>
  </si>
  <si>
    <t>Name-1: سامي خضر عبدالله النوافله الحارثي/Name-2: سامي/CA: 463000010006080094209</t>
  </si>
  <si>
    <t>Name-1: محمد عواض  عبدالله النوفلي الحارثي/Name-2: محمد عواض  عبدالله ا/CA: 335000010006080272686</t>
  </si>
  <si>
    <t>Name-1: بدر ساعد محمد النوفلي الحارثي/Name-2: بدر ساعد محمد النوفل/CA: 260000010006080149453</t>
  </si>
  <si>
    <t>Name-1: تركي بن عبدالعزيز بن محمد النوفلي ا/Name-2: تركي بن عبدالعزيز بن/CA: 382000010006080018198</t>
  </si>
  <si>
    <t>Name-1: سلطان علوان عواض  النوفلي الحارثي/Name-2: سلطان علوان عواض  ال/CA: 382000010006080047387</t>
  </si>
  <si>
    <t>Name-1: ماجد فهد قليل النوفلي الحارثي/Name-2: ماجد/CA: 375000010006080109806</t>
  </si>
  <si>
    <t>Name-1: خالد محمد عواض  النوفلي الحارثي/Name-2: خالد/CA: 199000010006080419944</t>
  </si>
  <si>
    <t>20260714SANCBKNCBK2B82810919954633/احمد محمد عابد الحارثي</t>
  </si>
  <si>
    <t>Name-1: محسن عوض  عواض  النوفلي الحارثي/Name-2: محسن/CA: 561000010006080018134</t>
  </si>
  <si>
    <t>Name-1: يزيد صالح عيضه النوفلي الحارثي/Name-2: يزيد/CA: 477000010006080519522</t>
  </si>
  <si>
    <t>Name-1: سامي منصور محمد النوفلي الحارثي/Name-2: سامي منصور محمد النو/CA: 112000010006080448236</t>
  </si>
  <si>
    <t>Name-1: فيصل فهد سالم الحارثي/Name-2: فيصل فهد سالم الحارث/CA: 525000010006080513261</t>
  </si>
  <si>
    <t>Name-1: احمد عيضة سعد النوفلي الحارثي/Name-2: احمد عيضة سعد النوفل/CA: 232000010006085234966</t>
  </si>
  <si>
    <t>Name-1: خالد سعد عواض النوفلي الحارثي/Name-2: خالد سعد عواض  النوف/CA: 232000010006080199768</t>
  </si>
  <si>
    <t>Name-1: محمد ساعد سعد الحارثي/Name-2: محمد ساعد سعد الحارث/CA: 331000010006086016578</t>
  </si>
  <si>
    <t>Name-1: سلمان ثابت جارالله النوفلي الحارثي/Name-2: سلمان ثابت جارالله ا/CA: 377000110006080028532</t>
  </si>
  <si>
    <t>Name-1: متعب سالم مخضور النوفلي الحارثي/Name-2: متعب/CA: 194000010006080206858</t>
  </si>
  <si>
    <t>20260720SAARNBARNB1B28312214393962/SAAD MASOUD ALHARTHI</t>
  </si>
  <si>
    <t>Name-1: فيصل مسفر ساعد النوفلي الحارثي/Name-2: فيصل مسفر ساعد النوف/CA: 287000010006080003444</t>
  </si>
  <si>
    <t>Name-1: سلمان خضر امبارك النوفلي الحارثي/Name-2: سلمان خضر امبارك الن/CA: 341000010006080157905</t>
  </si>
  <si>
    <t>من حساب جارالله خلف الله جارالله النوفلي الحارثي $199000010006080170703</t>
  </si>
  <si>
    <t>Name-1: خلف  الله عيضه ابن جارالله النوفلي /Name-2: خلف  الله/CA: 412000010006080249706</t>
  </si>
  <si>
    <t>20260722SAINMAINMA2BXXX11751500101/MAMDOH SAAD SALEM ALHARTHI</t>
  </si>
  <si>
    <t>Name-1: احمد دخيل الله محمد النوفلي الحارثي/Name-2: احمد دخيل الله محمد /CA: 381000010006080058096</t>
  </si>
  <si>
    <t>Name-1: حامد داخل محمد النوفلي الحارثي/Name-2: حامد داخل محمد النوف/CA: 361000160006080014885</t>
  </si>
  <si>
    <t>20260723SANCBKNCBK2B82810001489265/عدنان راشد بن علوان الحارثي</t>
  </si>
  <si>
    <t>Name-1: فهد بن ساعد بن حمدان النوفلي الحارث/Name-2: فهد بن ساعد بن حمدان/CA: 199000010006080262914</t>
  </si>
  <si>
    <t>Name-1: ناصر حمدان ساعد النوفلي الحارثي/Name-2: ناصر حمدان ساعد النو/CA: 235000010006080147178</t>
  </si>
  <si>
    <t>20260723SARIBLRIBL2BTMS11710231820/فهد ساعد مسعود النوفلي الحارثي</t>
  </si>
  <si>
    <t>Name-1: نواف مسعود حمدان النوفلي الحارثي/Name-2: نواف مسعود حمدان الن/CA: 326000010006080230883</t>
  </si>
  <si>
    <t>Name-1: خالد صالح محمد النوفلي الحارثي/Name-2: خالد صالح محمد/CA: 232000010006080279917</t>
  </si>
  <si>
    <t>20260723SANCBKNCBK2B82812300661643/عبدالعالي علي عبدالعالي الحارثي</t>
  </si>
  <si>
    <t>Name-1: ريان فواز محمد الحارثي/Name-2: ريان فواز محمد الحار/CA: 382000010006080253639</t>
  </si>
  <si>
    <t>Name-1: حمود سعيد ابن سعد النوفلي الحارثي/Name-2: حمود سعيد ابن سعد ال/CA: 200000010006080074902</t>
  </si>
  <si>
    <t>20260730SANCBKNCBK2B82810326707799/خالد عبدالرحمن عايض الحارثي</t>
  </si>
  <si>
    <t>الرصيد</t>
  </si>
  <si>
    <t xml:space="preserve">تفاصيل الصرف </t>
  </si>
  <si>
    <t>اسم المورد</t>
  </si>
  <si>
    <t>Name-1: رعد سفر عايض  الحارثي/Name-2: رعد/CA: 139000010006081665456</t>
  </si>
  <si>
    <t>Name-1: خالد سعد ابراهيم النوفلي الحارثي/Name-2: خالد سعد ابراهيم الن/CA: 199000010006080328939</t>
  </si>
  <si>
    <t>Name-1: فيصل سعد ابراهيم النوفلي الحارثي/Name-2: فيصل سعد ابراهيم الن/CA: 199000010006080452093</t>
  </si>
  <si>
    <t>9130072601615242/BARQ SAFE AND DEPOSIT/توزيع ما تبقي من مساهمات الزواج علي العرسان  بارك الله لكم وف</t>
  </si>
  <si>
    <t>تم توزيعهم وتقسيهم علي العرسان وهم (19150)</t>
  </si>
  <si>
    <t>اسم العريس</t>
  </si>
  <si>
    <t>RP-7-2026-035</t>
  </si>
  <si>
    <t xml:space="preserve">طلبات المطبخ </t>
  </si>
  <si>
    <t xml:space="preserve">أمر صرف PR-7-2026- </t>
  </si>
  <si>
    <t xml:space="preserve">عن طريق هليل </t>
  </si>
  <si>
    <t>ايجار سياره توصيل عدد 2 من الحشو</t>
  </si>
  <si>
    <t xml:space="preserve"> PR-7-2026-013 </t>
  </si>
  <si>
    <t>الوصف</t>
  </si>
  <si>
    <t>الاشراف علي الطبخ وتنظيم العشاء</t>
  </si>
  <si>
    <t>شراء عدد 2 حشو</t>
  </si>
  <si>
    <t xml:space="preserve">متابعه المياه والمشروبات </t>
  </si>
  <si>
    <t xml:space="preserve">طلبات الطباخ </t>
  </si>
  <si>
    <t>صحون وملاعق</t>
  </si>
  <si>
    <t>اعداد الهويه البصريه والمواد الاعلاميه</t>
  </si>
  <si>
    <t>بانرات مع فك وتركيب</t>
  </si>
  <si>
    <t>عواض الحارثي</t>
  </si>
  <si>
    <t>المنشد</t>
  </si>
  <si>
    <t>ابراز الحفل اعلاميا</t>
  </si>
  <si>
    <t>اعداد المواد الاعلاميه عبارات وبطاقات اللجان</t>
  </si>
  <si>
    <t>فرش كراسي وطولات</t>
  </si>
  <si>
    <t>فرش حواجز وكراسي</t>
  </si>
  <si>
    <t>اضافه طاولات وكراسي</t>
  </si>
  <si>
    <t>ركن الضيافه (التمر .شاي .حلويات)</t>
  </si>
  <si>
    <t>كراسي وطاولات وممرات</t>
  </si>
  <si>
    <t xml:space="preserve">شركه كيان </t>
  </si>
  <si>
    <t>صابون ومناديل</t>
  </si>
  <si>
    <t xml:space="preserve">كماليات الصاله الداخليه </t>
  </si>
  <si>
    <t>باقي مبلغ المنشده</t>
  </si>
  <si>
    <t>مشرفات والمنظمات</t>
  </si>
  <si>
    <t>تجهيز وتنظيم بوفيه العشاء</t>
  </si>
  <si>
    <t>الكوشه +تنسيق الطاولات مع الكماليات</t>
  </si>
  <si>
    <t>عربون المنشده</t>
  </si>
  <si>
    <t>شراء 16 حاشي</t>
  </si>
  <si>
    <t xml:space="preserve">ايجا ر ديانه توصيل الدبايح للمطبخ سداد من قيمه الكوبود </t>
  </si>
  <si>
    <t>دفعت لرئيس البرنامج (النثريات )</t>
  </si>
  <si>
    <t>النقل الاعلامي وابراز الحفل</t>
  </si>
  <si>
    <t>اللجنة الإعلامية ( مؤسسة تهاني الخليج )</t>
  </si>
  <si>
    <t xml:space="preserve"> بطاقات ( ديكور المسرح )</t>
  </si>
  <si>
    <t xml:space="preserve"> تم تحويلها لرئيس البرنامج عبدالله بن ملفي لتسليمها شيخ القبيلة. </t>
  </si>
  <si>
    <t xml:space="preserve">مؤسسة عبداللطيف الحميدي </t>
  </si>
  <si>
    <t>عود مروكي</t>
  </si>
  <si>
    <t xml:space="preserve"> شركة القصير السعودية المحدودة</t>
  </si>
  <si>
    <t>قاعة حمود المقاطي للأفراح</t>
  </si>
  <si>
    <t>العدد</t>
  </si>
  <si>
    <t xml:space="preserve">اسم الخامس </t>
  </si>
  <si>
    <t xml:space="preserve">عدد الخامس </t>
  </si>
  <si>
    <t xml:space="preserve">عدد العرسان </t>
  </si>
  <si>
    <t xml:space="preserve">عدد المساهمين </t>
  </si>
  <si>
    <t xml:space="preserve">عدد المتاخرين </t>
  </si>
  <si>
    <t>الملاحظات</t>
  </si>
  <si>
    <t xml:space="preserve">المجموع </t>
  </si>
  <si>
    <t xml:space="preserve">الدهامشه </t>
  </si>
  <si>
    <t>الخاطر</t>
  </si>
  <si>
    <t xml:space="preserve">الديبان </t>
  </si>
  <si>
    <t>العلي</t>
  </si>
  <si>
    <t xml:space="preserve">السيوده </t>
  </si>
  <si>
    <t xml:space="preserve">ريشان </t>
  </si>
  <si>
    <t xml:space="preserve">الدمجاء </t>
  </si>
  <si>
    <t>_</t>
  </si>
  <si>
    <t>بيان يمثل جميع الخوامس المساهمين في الزواج الجماعي لقبيله النوافله عام 1448هجريا</t>
  </si>
  <si>
    <t>أمر صرف PR-7-2026- — الإعلام والبرنامج والتقنية</t>
  </si>
  <si>
    <t>جنا محمد سعيد الحارثي</t>
  </si>
  <si>
    <t xml:space="preserve">درون -اسناب شات-يوتيوب - تيك توك </t>
  </si>
  <si>
    <t>قسمت علي 8 عرائس</t>
  </si>
  <si>
    <t>الامر</t>
  </si>
  <si>
    <t xml:space="preserve">الاسم </t>
  </si>
  <si>
    <t>لجنه الاستقبال والضيافه   RP-7-2026-031</t>
  </si>
  <si>
    <t xml:space="preserve"> لجنه الاستقبال والضيافه RP-7-2026-030</t>
  </si>
  <si>
    <t xml:space="preserve"> لجنه الاستقبال والضيافه RP-7-2026-029</t>
  </si>
  <si>
    <t xml:space="preserve">RP-7-2026-028 لجنه الاستقبال والضيافه </t>
  </si>
  <si>
    <t xml:space="preserve"> PR-7-2026-013 لجنه الاستقبال والضيافه</t>
  </si>
  <si>
    <t xml:space="preserve"> لجنه الاستقبال والضيافه أمر صرف PR-7-2026-014 </t>
  </si>
  <si>
    <t xml:space="preserve">لجنه الاستقبال والضيافه أمر صرف PR-7-2026-016 </t>
  </si>
  <si>
    <t xml:space="preserve"> لجنه الاستقبال والضيافه أمر صرف PR-7-2026-015 </t>
  </si>
  <si>
    <t xml:space="preserve">RP-7-2026-032 لجنه الصاله الداخليه </t>
  </si>
  <si>
    <t xml:space="preserve">RP-7-2026-026 لجنه الصاله الداخليه </t>
  </si>
  <si>
    <t xml:space="preserve">RP-7-2026-025 لجنه الصاله الداخليه </t>
  </si>
  <si>
    <t xml:space="preserve">RP-7-2026-024 لجنه الصاله الداخليه </t>
  </si>
  <si>
    <t xml:space="preserve">RP-7-2026-023 لجنه الصاله الداخليه </t>
  </si>
  <si>
    <t xml:space="preserve">RP-7-2026-022 لجنه الصاله الداخليه </t>
  </si>
  <si>
    <t xml:space="preserve">RP-7-2026-039 لجنه الاعلام والبرنامج والتقنيه </t>
  </si>
  <si>
    <t xml:space="preserve">RP-7-2026-027 لجنه الاعلام والبرنامج والتقنيه </t>
  </si>
  <si>
    <t xml:space="preserve">RP-7-2026-021 لجنه الاعلام والبرنامج والتقنيه </t>
  </si>
  <si>
    <t xml:space="preserve"> لجنه الاعلام والبرنامج والتقنيه أمر صرف PR-7-2026-012 </t>
  </si>
  <si>
    <t xml:space="preserve"> لجنه الاعلام والبرنامج والتقنيه أمر صرف PR-7-2026-008 </t>
  </si>
  <si>
    <t xml:space="preserve"> لجنه الاعلام والبرنامج والتقنيه أمر صرف PR-7-2026-011</t>
  </si>
  <si>
    <t xml:space="preserve"> لجنه الاعلام والبرنامج والتقنيه أمر صرف PR-7-2026-010 </t>
  </si>
  <si>
    <t xml:space="preserve">لجنه الاعلام والبرنامج والتقنيه  أمر صرف PR-7-2026-004 </t>
  </si>
  <si>
    <t xml:space="preserve">لجنه الاعلام والبرنامج والتقنيه  أمر صرف PR-7-2026-017 </t>
  </si>
  <si>
    <t xml:space="preserve"> أمر صرف PR-7-2026- — الإعلام والبرنامج والتقنية</t>
  </si>
  <si>
    <t xml:space="preserve">لجنه الاعلام والبرنامج والتقنيه أمر صرف PR-7-2026- </t>
  </si>
  <si>
    <t>RP-7-2026-038 لجنه التموين</t>
  </si>
  <si>
    <t xml:space="preserve">RP-7-2026-037 لجنه التموين </t>
  </si>
  <si>
    <t xml:space="preserve">RP-7-2026-036 لجنه التموين </t>
  </si>
  <si>
    <t xml:space="preserve">RP-7-2026-033 لجنه التموين </t>
  </si>
  <si>
    <t xml:space="preserve">RP-7-2026-034 لجنه التموين </t>
  </si>
  <si>
    <t xml:space="preserve"> لجنه التموين ايجار ديانه توصيل الدبايح للمطبخ سداد من قيمه الكوبود </t>
  </si>
  <si>
    <t xml:space="preserve">RP-7-2026-035 لجنه التموين </t>
  </si>
  <si>
    <t>Name-1: عبدالعزيز علي محسن الفهيده المري/Name-2: عبدالعزيز/CA: 285000010006080099659</t>
  </si>
  <si>
    <t>Name-1: خلود ظافر ابراهيم الدوسري/Name-2: خلود/CA: 328000010006080102536</t>
  </si>
  <si>
    <t>Name-1: عواض  راشد رده العضياني الحارثي/Name-2: عواض /CA: 232000010006080285476</t>
  </si>
  <si>
    <t>Name-1: خطاط نور الطائف للخط والرسم        /Name-2: خطاط نور الطائف للخط/CA: 526000010006086147733</t>
  </si>
  <si>
    <t>Name-1: ظافر مانع سعيد الثلي الشهري/Name-2: ظافر/CA: 410000010006080093973</t>
  </si>
  <si>
    <t>Name-1: جنا سعيد محمد الحارثي/Name-2: جنا سعيد محمد الحارث/CA: 640000010006084767251</t>
  </si>
  <si>
    <t>Name-1: يوسف مصطفى عبد الحي ابو حسين/Name-2: يوسف/CA: 077050010006089671224</t>
  </si>
  <si>
    <t>9120072600986687/قاعة حمود شباب المقاطي/لجنة الاستقبال</t>
  </si>
  <si>
    <t>Name-1: شركة القصير السعوديه المحدودة/Name-2: شركة القصير السعوديه/CA: 379000010006080222332</t>
  </si>
  <si>
    <t>9121072600770317/مؤسسة صورني للتصوير الفوتوغرافي/اللجنة تلاعلامية ( تصوير فوتغرافي)</t>
  </si>
  <si>
    <t>9122072600333931/شركة كيان باك التجارية/لجنة الاستقبال ( صابون ومناديل ..)</t>
  </si>
  <si>
    <t>Name-1: مجاهد بن مرزوق بن عايض  المقاطي الع/Name-2: مجاهد بن مرزوق بن عا/CA: 379000010006080124439</t>
  </si>
  <si>
    <t>Name-1: مؤسسة لمسات فرحه لهدايا/Name-2: مؤسسة لمسات فرحه لهد/CA: 335000010006086532653</t>
  </si>
  <si>
    <t>Name-1: حمدان احمد محمد العصمانى المالكى/Name-2: حمدان/CA: 199000010006080113851</t>
  </si>
  <si>
    <t>Name-1: محمد دايخ مدوخ الشلوي/Name-2: محمد دايخ مدوخ الشلو/CA: 199000010006085015010</t>
  </si>
  <si>
    <t>Name-1: مؤسسة افراح المملكة للنتاج العلمي ا/Name-2: مؤسسة افراح المملكة /CA: 335000010006086443638</t>
  </si>
  <si>
    <t>Name-1: سوسن احمد محمد الوقداني/Name-2: سوسن/CA: 077040010006087874698</t>
  </si>
  <si>
    <t>Name-1: كمال عبدالمغنى محمد امين/Name-2: كمال عبدالمغنى محمد /CA: 335000010006080070007</t>
  </si>
  <si>
    <t>Name-1: وليد احمد حسين مساعد/Name-2: وليد احمد حسين مساعد/CA: 991000010006087061426</t>
  </si>
  <si>
    <t>Name-1: محمد عبدالعزيز عيضه النوفلي الحارثي/Name-2: محمد/CA: 203000010006080062144</t>
  </si>
  <si>
    <t>المجموع</t>
  </si>
  <si>
    <t>المبالغ غير البنكيه</t>
  </si>
  <si>
    <t>توصيل الحشو</t>
  </si>
  <si>
    <t>اجمالي الايداعات - اجمالي المصروفات  =(314256-295103)=19153</t>
  </si>
  <si>
    <t xml:space="preserve">ملاحظات /5500 فائض كسوة الشعار  و200 ريال باقي بيع الكبده  و3000 واجب الكرايعه </t>
  </si>
  <si>
    <t>مبلغ أودع بالخطأ لأحد الموردين وأعيد للصندوق بعدحوالي (12) دقيقة من التحويل</t>
  </si>
  <si>
    <t>عريس</t>
  </si>
  <si>
    <t>6 خامس العمران</t>
  </si>
  <si>
    <t>10 الشيخ عبدالعزيز</t>
  </si>
  <si>
    <t>7 أبناء دخيل الله</t>
  </si>
  <si>
    <t>40 خامس العبابيد</t>
  </si>
  <si>
    <t xml:space="preserve">11من ذوي ضيف الله </t>
  </si>
  <si>
    <t>من ذوي ضيف الله</t>
  </si>
  <si>
    <t>2 من ذوي ضيف الله</t>
  </si>
  <si>
    <t>19 خامس البردة</t>
  </si>
  <si>
    <t>13 عبدالله بن مبارك وبعض أبناء حامد بن جابر</t>
  </si>
  <si>
    <t>5 بقية أبناء حامد بن جابر</t>
  </si>
  <si>
    <t>4مع إضافة 100 ريال</t>
  </si>
  <si>
    <t xml:space="preserve">4 العبدة </t>
  </si>
  <si>
    <t>3 العبدة</t>
  </si>
  <si>
    <t>7 العبدة</t>
  </si>
  <si>
    <t>مساهمة إضافية 100 ريال</t>
  </si>
  <si>
    <t xml:space="preserve">عن سفران وعبدالله بن عيضه </t>
  </si>
  <si>
    <t>مساهمة إضافية</t>
  </si>
  <si>
    <t>عن ابنه مهند</t>
  </si>
  <si>
    <t>100 مساهمة إضافية</t>
  </si>
  <si>
    <t>تم صرفها في طلبات الحفل عن طريق المسؤول المالي هليل وتبقي منها 550 ريال اعيدت لحساب الصندوق</t>
  </si>
  <si>
    <t xml:space="preserve">من بيع كبود الذبايح عن طريق هليل </t>
  </si>
  <si>
    <t xml:space="preserve">من أحد الموردين بسبب تقصيره في توفير طلبات لجنه الاستقبال </t>
  </si>
  <si>
    <t xml:space="preserve">سلمت لرئيس برنامج الزواج الجماعي عبدالله بن ملفي لصرفها في النثيرات بموجب فواتير وأعيد ما تبقى منها لحساب الصندوق ( 3324) ريال </t>
  </si>
  <si>
    <t>بموجب خطاب شيخ القبيلة الموجه لتحويل المبلغ إلى رئيس البرنامج عبدالله بن ملفي لكسوة الشعار حسب ما ورد في الخطاب</t>
  </si>
  <si>
    <t xml:space="preserve">حول بالخطأ للشركة (1650) ريال بزيادة (90) ريال وأعيدت هذه الزيادة إلى حساب الصندوق خلال 12 دقيقة </t>
  </si>
  <si>
    <t xml:space="preserve"> ريالان (2) دفعت للرسوم البنكية </t>
  </si>
  <si>
    <t xml:space="preserve">ملحوظة : مجموع الرصيد الحالي بعد توزيع ما تبقى على العرسان ريال وإحدى عشر هلله (1.11) </t>
  </si>
  <si>
    <t>أي استفسار بخصوص التقرير المالي مراسلتنا على هاتف منظمة يقين وعطاء( 0531139784</t>
  </si>
  <si>
    <t xml:space="preserve">صحون وملاعق من مبلغ النثريات </t>
  </si>
  <si>
    <t xml:space="preserve">ايجار ديانه توصيل الذبايح </t>
  </si>
  <si>
    <t>ايجار دباب عدد 2 حاشي</t>
  </si>
  <si>
    <t>من رئيس البرنامج من مبلغ النثريات</t>
  </si>
  <si>
    <t xml:space="preserve"> </t>
  </si>
  <si>
    <t>كسوه الشعار بناء على خطاب شيخ القبيله</t>
  </si>
  <si>
    <t>من أحد الموردين بسبب تقصيره في توفير طلبات لجنة الاستقبال حسب إفادة المسؤول المالي هليل</t>
  </si>
  <si>
    <t>ما تبقى من العشرة آلاف والذي صرف في النثريات بموجب فواتير</t>
  </si>
  <si>
    <t>مساهمات الداعمين  وقدرها ( 297400)           والمجموع مع  الايداعات والفائض        =</t>
  </si>
  <si>
    <t xml:space="preserve">صرف لرئيس برنامج الزواج عبدالله بن ملفي لتوزيعه على العرسان بعد إضافة الفائض والايداعات الأخرى ولكن أعيد للصندوق بعد الاتفاق مع شيخ القبيلةعلى أن يكون التوزيع من خلال الصندوق </t>
  </si>
  <si>
    <t>إعداد  رئيس لجنة البيانات : صالح بن سعد بن عباد</t>
  </si>
  <si>
    <t>اجتهدنا في هذا التقرير لنقدم صورة واضحة وشفافة لقبيلتنا ؛ فإن وجد قصور فالتمسوا  العذر فما هو إلا جهد البشر ، ونرحب بملاحظاتكم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</si>
</sst>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[$ر.س.‏-401]_-;\-* #,##0.00\ [$ر.س.‏-401]_-;_-* &quot;-&quot;??\ [$ر.س.‏-401]_-;_-@_-"/>
  </numFmts>
  <fonts count="27" x14ac:knownFonts="1"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name val="Arial"/>
      <family val="2"/>
      <scheme val="minor"/>
    </font>
    <font>
      <b/>
      <sz val="20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22"/>
      <color theme="1"/>
      <name val="Arial"/>
      <family val="2"/>
      <scheme val="minor"/>
    </font>
    <font>
      <b/>
      <sz val="24"/>
      <color theme="1"/>
      <name val="Arial"/>
      <family val="2"/>
      <scheme val="minor"/>
    </font>
    <font>
      <sz val="24"/>
      <color theme="1"/>
      <name val="Arial"/>
      <family val="2"/>
      <scheme val="minor"/>
    </font>
    <font>
      <sz val="28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14"/>
      <color rgb="FFFFFFFF"/>
      <name val="Arial"/>
      <family val="2"/>
      <scheme val="minor"/>
    </font>
    <font>
      <b/>
      <sz val="16"/>
      <color rgb="FFFFFFFF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sz val="11"/>
      <name val="Calibri"/>
      <family val="2"/>
    </font>
    <font>
      <sz val="11"/>
      <color indexed="17"/>
      <name val="Calibri"/>
      <family val="2"/>
    </font>
    <font>
      <sz val="12"/>
      <color indexed="8"/>
      <name val="Calibri"/>
      <family val="2"/>
    </font>
    <font>
      <sz val="11"/>
      <color indexed="10"/>
      <name val="Calibri"/>
      <family val="2"/>
    </font>
    <font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 style="double">
        <color theme="2" tint="-0.249977111117893"/>
      </top>
      <bottom/>
      <diagonal/>
    </border>
    <border>
      <left/>
      <right/>
      <top/>
      <bottom style="double">
        <color theme="2" tint="-0.249977111117893"/>
      </bottom>
      <diagonal/>
    </border>
    <border>
      <left style="thick">
        <color indexed="64"/>
      </left>
      <right style="thick">
        <color theme="1" tint="4.9989318521683403E-2"/>
      </right>
      <top/>
      <bottom/>
      <diagonal/>
    </border>
    <border>
      <left style="thick">
        <color theme="1" tint="4.9989318521683403E-2"/>
      </left>
      <right style="thick">
        <color theme="1" tint="4.9989318521683403E-2"/>
      </right>
      <top style="thick">
        <color theme="1" tint="4.9989318521683403E-2"/>
      </top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 style="thick">
        <color theme="1" tint="4.9989318521683403E-2"/>
      </left>
      <right style="thick">
        <color theme="1" tint="4.9989318521683403E-2"/>
      </right>
      <top style="thick">
        <color theme="1" tint="4.9989318521683403E-2"/>
      </top>
      <bottom/>
      <diagonal/>
    </border>
    <border>
      <left style="thick">
        <color theme="1" tint="4.9989318521683403E-2"/>
      </left>
      <right style="thick">
        <color theme="1" tint="4.9989318521683403E-2"/>
      </right>
      <top/>
      <bottom/>
      <diagonal/>
    </border>
    <border>
      <left style="thick">
        <color theme="1" tint="4.9989318521683403E-2"/>
      </left>
      <right style="thick">
        <color theme="1" tint="4.9989318521683403E-2"/>
      </right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/>
      <diagonal/>
    </border>
    <border>
      <left/>
      <right/>
      <top style="thick">
        <color theme="1" tint="4.9989318521683403E-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theme="1" tint="4.9989318521683403E-2"/>
      </left>
      <right/>
      <top style="thick">
        <color theme="1" tint="4.9989318521683403E-2"/>
      </top>
      <bottom/>
      <diagonal/>
    </border>
    <border>
      <left/>
      <right style="thick">
        <color theme="1" tint="4.9989318521683403E-2"/>
      </right>
      <top style="thick">
        <color theme="1" tint="4.9989318521683403E-2"/>
      </top>
      <bottom/>
      <diagonal/>
    </border>
    <border>
      <left style="thick">
        <color theme="1" tint="4.9989318521683403E-2"/>
      </left>
      <right/>
      <top/>
      <bottom/>
      <diagonal/>
    </border>
    <border>
      <left style="double">
        <color theme="1" tint="4.9989318521683403E-2"/>
      </left>
      <right style="double">
        <color theme="1" tint="4.9989318521683403E-2"/>
      </right>
      <top style="double">
        <color theme="1" tint="4.9989318521683403E-2"/>
      </top>
      <bottom style="double">
        <color theme="1" tint="4.9989318521683403E-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theme="1" tint="4.9989318521683403E-2"/>
      </left>
      <right style="thick">
        <color theme="1" tint="4.9989318521683403E-2"/>
      </right>
      <top style="double">
        <color theme="1" tint="4.9989318521683403E-2"/>
      </top>
      <bottom style="thick">
        <color theme="1" tint="4.9989318521683403E-2"/>
      </bottom>
      <diagonal/>
    </border>
    <border>
      <left style="thick">
        <color theme="1" tint="4.9989318521683403E-2"/>
      </left>
      <right style="thick">
        <color theme="1" tint="4.9989318521683403E-2"/>
      </right>
      <top style="double">
        <color theme="1" tint="4.9989318521683403E-2"/>
      </top>
      <bottom style="double">
        <color theme="1" tint="4.9989318521683403E-2"/>
      </bottom>
      <diagonal/>
    </border>
    <border>
      <left style="thick">
        <color theme="1" tint="4.9989318521683403E-2"/>
      </left>
      <right style="double">
        <color theme="1" tint="4.9989318521683403E-2"/>
      </right>
      <top style="double">
        <color theme="1" tint="4.9989318521683403E-2"/>
      </top>
      <bottom style="double">
        <color theme="1" tint="4.9989318521683403E-2"/>
      </bottom>
      <diagonal/>
    </border>
    <border>
      <left/>
      <right/>
      <top style="thin">
        <color auto="1"/>
      </top>
      <bottom/>
      <diagonal/>
    </border>
    <border>
      <left style="thick">
        <color theme="1" tint="4.9989318521683403E-2"/>
      </left>
      <right/>
      <top style="double">
        <color theme="1" tint="4.9989318521683403E-2"/>
      </top>
      <bottom/>
      <diagonal/>
    </border>
    <border>
      <left/>
      <right/>
      <top style="double">
        <color theme="1" tint="4.9989318521683403E-2"/>
      </top>
      <bottom/>
      <diagonal/>
    </border>
    <border>
      <left/>
      <right style="double">
        <color theme="1" tint="4.9989318521683403E-2"/>
      </right>
      <top style="double">
        <color theme="1" tint="4.9989318521683403E-2"/>
      </top>
      <bottom/>
      <diagonal/>
    </border>
    <border>
      <left/>
      <right style="double">
        <color theme="1" tint="4.9989318521683403E-2"/>
      </right>
      <top/>
      <bottom/>
      <diagonal/>
    </border>
    <border>
      <left style="thick">
        <color theme="1" tint="4.9989318521683403E-2"/>
      </left>
      <right/>
      <top/>
      <bottom style="double">
        <color theme="1" tint="4.9989318521683403E-2"/>
      </bottom>
      <diagonal/>
    </border>
    <border>
      <left/>
      <right/>
      <top/>
      <bottom style="double">
        <color theme="1" tint="4.9989318521683403E-2"/>
      </bottom>
      <diagonal/>
    </border>
    <border>
      <left/>
      <right style="double">
        <color theme="1" tint="4.9989318521683403E-2"/>
      </right>
      <top/>
      <bottom style="double">
        <color theme="1" tint="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theme="1" tint="4.9989318521683403E-2"/>
      </bottom>
      <diagonal/>
    </border>
    <border>
      <left/>
      <right/>
      <top style="thin">
        <color auto="1"/>
      </top>
      <bottom style="double">
        <color theme="1" tint="4.9989318521683403E-2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9" fillId="0" borderId="0"/>
    <xf numFmtId="43" fontId="25" fillId="0" borderId="0" applyFon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5" borderId="1" xfId="0" applyFill="1" applyBorder="1"/>
    <xf numFmtId="0" fontId="0" fillId="6" borderId="2" xfId="0" applyFill="1" applyBorder="1"/>
    <xf numFmtId="0" fontId="0" fillId="6" borderId="0" xfId="0" applyFill="1"/>
    <xf numFmtId="0" fontId="0" fillId="6" borderId="3" xfId="0" applyFill="1" applyBorder="1"/>
    <xf numFmtId="0" fontId="0" fillId="5" borderId="4" xfId="0" applyFill="1" applyBorder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5" fillId="0" borderId="0" xfId="0" applyFont="1"/>
    <xf numFmtId="14" fontId="0" fillId="2" borderId="0" xfId="0" applyNumberFormat="1" applyFill="1" applyAlignment="1">
      <alignment horizontal="center" vertical="center"/>
    </xf>
    <xf numFmtId="14" fontId="0" fillId="0" borderId="0" xfId="0" applyNumberFormat="1"/>
    <xf numFmtId="164" fontId="0" fillId="2" borderId="0" xfId="0" applyNumberFormat="1" applyFill="1" applyAlignment="1">
      <alignment horizontal="center" vertical="center"/>
    </xf>
    <xf numFmtId="164" fontId="1" fillId="6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8" fillId="8" borderId="0" xfId="0" applyFont="1" applyFill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164" fontId="1" fillId="6" borderId="9" xfId="0" applyNumberFormat="1" applyFont="1" applyFill="1" applyBorder="1" applyAlignment="1">
      <alignment horizontal="center" vertical="center"/>
    </xf>
    <xf numFmtId="0" fontId="6" fillId="0" borderId="0" xfId="0" applyFont="1"/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164" fontId="1" fillId="6" borderId="19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13" borderId="0" xfId="0" applyFont="1" applyFill="1" applyAlignment="1">
      <alignment horizontal="center"/>
    </xf>
    <xf numFmtId="0" fontId="1" fillId="13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13" borderId="6" xfId="0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wrapText="1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2" borderId="0" xfId="0" applyFont="1" applyFill="1"/>
    <xf numFmtId="0" fontId="3" fillId="5" borderId="0" xfId="0" applyFont="1" applyFill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/>
    </xf>
    <xf numFmtId="164" fontId="1" fillId="6" borderId="22" xfId="0" applyNumberFormat="1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17" fillId="14" borderId="13" xfId="0" applyFont="1" applyFill="1" applyBorder="1" applyAlignment="1">
      <alignment horizontal="center" vertical="center"/>
    </xf>
    <xf numFmtId="0" fontId="16" fillId="14" borderId="13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5" fillId="2" borderId="0" xfId="0" applyFont="1" applyFill="1" applyAlignment="1">
      <alignment vertical="center"/>
    </xf>
    <xf numFmtId="0" fontId="3" fillId="0" borderId="0" xfId="0" applyFont="1"/>
    <xf numFmtId="0" fontId="1" fillId="5" borderId="13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vertical="center"/>
    </xf>
    <xf numFmtId="0" fontId="5" fillId="7" borderId="8" xfId="0" applyFont="1" applyFill="1" applyBorder="1" applyAlignment="1">
      <alignment vertical="center" wrapText="1"/>
    </xf>
    <xf numFmtId="0" fontId="11" fillId="7" borderId="16" xfId="0" applyFont="1" applyFill="1" applyBorder="1" applyAlignment="1">
      <alignment vertical="center"/>
    </xf>
    <xf numFmtId="0" fontId="2" fillId="7" borderId="11" xfId="0" applyFont="1" applyFill="1" applyBorder="1" applyAlignment="1">
      <alignment vertical="center"/>
    </xf>
    <xf numFmtId="0" fontId="5" fillId="7" borderId="7" xfId="0" applyFont="1" applyFill="1" applyBorder="1" applyAlignment="1">
      <alignment vertical="center" wrapText="1"/>
    </xf>
    <xf numFmtId="14" fontId="5" fillId="7" borderId="7" xfId="0" applyNumberFormat="1" applyFont="1" applyFill="1" applyBorder="1" applyAlignment="1">
      <alignment vertical="center"/>
    </xf>
    <xf numFmtId="164" fontId="5" fillId="9" borderId="7" xfId="0" applyNumberFormat="1" applyFont="1" applyFill="1" applyBorder="1" applyAlignment="1">
      <alignment vertical="center"/>
    </xf>
    <xf numFmtId="164" fontId="5" fillId="9" borderId="8" xfId="0" applyNumberFormat="1" applyFont="1" applyFill="1" applyBorder="1" applyAlignment="1">
      <alignment vertical="center"/>
    </xf>
    <xf numFmtId="0" fontId="5" fillId="7" borderId="11" xfId="0" applyFont="1" applyFill="1" applyBorder="1" applyAlignment="1">
      <alignment vertical="center" wrapText="1"/>
    </xf>
    <xf numFmtId="14" fontId="5" fillId="7" borderId="22" xfId="0" applyNumberFormat="1" applyFont="1" applyFill="1" applyBorder="1" applyAlignment="1">
      <alignment vertical="center"/>
    </xf>
    <xf numFmtId="14" fontId="5" fillId="7" borderId="21" xfId="0" applyNumberFormat="1" applyFont="1" applyFill="1" applyBorder="1" applyAlignment="1">
      <alignment vertical="center"/>
    </xf>
    <xf numFmtId="164" fontId="5" fillId="7" borderId="22" xfId="0" applyNumberFormat="1" applyFont="1" applyFill="1" applyBorder="1" applyAlignment="1">
      <alignment vertical="center"/>
    </xf>
    <xf numFmtId="164" fontId="5" fillId="7" borderId="21" xfId="0" applyNumberFormat="1" applyFont="1" applyFill="1" applyBorder="1" applyAlignment="1">
      <alignment vertical="center"/>
    </xf>
    <xf numFmtId="0" fontId="2" fillId="7" borderId="22" xfId="0" applyFont="1" applyFill="1" applyBorder="1" applyAlignment="1">
      <alignment vertical="center"/>
    </xf>
    <xf numFmtId="0" fontId="2" fillId="7" borderId="21" xfId="0" applyFont="1" applyFill="1" applyBorder="1" applyAlignment="1">
      <alignment vertical="center"/>
    </xf>
    <xf numFmtId="0" fontId="5" fillId="7" borderId="22" xfId="0" applyFont="1" applyFill="1" applyBorder="1" applyAlignment="1">
      <alignment wrapText="1"/>
    </xf>
    <xf numFmtId="0" fontId="5" fillId="7" borderId="21" xfId="0" applyFont="1" applyFill="1" applyBorder="1" applyAlignment="1">
      <alignment wrapText="1"/>
    </xf>
    <xf numFmtId="0" fontId="5" fillId="7" borderId="22" xfId="0" applyFont="1" applyFill="1" applyBorder="1" applyAlignment="1">
      <alignment vertical="center" wrapText="1"/>
    </xf>
    <xf numFmtId="0" fontId="10" fillId="7" borderId="25" xfId="0" applyFont="1" applyFill="1" applyBorder="1" applyAlignment="1">
      <alignment vertical="center"/>
    </xf>
    <xf numFmtId="0" fontId="10" fillId="7" borderId="26" xfId="0" applyFont="1" applyFill="1" applyBorder="1" applyAlignment="1">
      <alignment vertical="center"/>
    </xf>
    <xf numFmtId="0" fontId="10" fillId="7" borderId="27" xfId="0" applyFont="1" applyFill="1" applyBorder="1" applyAlignment="1">
      <alignment vertical="center"/>
    </xf>
    <xf numFmtId="0" fontId="10" fillId="7" borderId="18" xfId="0" applyFont="1" applyFill="1" applyBorder="1" applyAlignment="1">
      <alignment vertical="center"/>
    </xf>
    <xf numFmtId="0" fontId="10" fillId="7" borderId="0" xfId="0" applyFont="1" applyFill="1" applyAlignment="1">
      <alignment vertical="center"/>
    </xf>
    <xf numFmtId="0" fontId="10" fillId="7" borderId="28" xfId="0" applyFont="1" applyFill="1" applyBorder="1" applyAlignment="1">
      <alignment vertical="center"/>
    </xf>
    <xf numFmtId="0" fontId="10" fillId="7" borderId="29" xfId="0" applyFont="1" applyFill="1" applyBorder="1" applyAlignment="1">
      <alignment vertical="center"/>
    </xf>
    <xf numFmtId="0" fontId="10" fillId="7" borderId="30" xfId="0" applyFont="1" applyFill="1" applyBorder="1" applyAlignment="1">
      <alignment vertical="center"/>
    </xf>
    <xf numFmtId="0" fontId="10" fillId="7" borderId="31" xfId="0" applyFont="1" applyFill="1" applyBorder="1" applyAlignment="1">
      <alignment vertical="center"/>
    </xf>
    <xf numFmtId="0" fontId="5" fillId="7" borderId="19" xfId="0" applyFont="1" applyFill="1" applyBorder="1" applyAlignment="1">
      <alignment vertical="center" wrapText="1"/>
    </xf>
    <xf numFmtId="164" fontId="5" fillId="9" borderId="19" xfId="0" applyNumberFormat="1" applyFont="1" applyFill="1" applyBorder="1" applyAlignment="1">
      <alignment vertical="center"/>
    </xf>
    <xf numFmtId="0" fontId="5" fillId="10" borderId="19" xfId="0" applyFont="1" applyFill="1" applyBorder="1" applyAlignment="1">
      <alignment vertical="center"/>
    </xf>
    <xf numFmtId="0" fontId="5" fillId="7" borderId="19" xfId="0" applyFont="1" applyFill="1" applyBorder="1" applyAlignment="1">
      <alignment vertical="center"/>
    </xf>
    <xf numFmtId="164" fontId="9" fillId="12" borderId="7" xfId="0" applyNumberFormat="1" applyFont="1" applyFill="1" applyBorder="1" applyAlignment="1">
      <alignment vertical="center"/>
    </xf>
    <xf numFmtId="164" fontId="9" fillId="12" borderId="8" xfId="0" applyNumberFormat="1" applyFont="1" applyFill="1" applyBorder="1" applyAlignment="1">
      <alignment vertical="center"/>
    </xf>
    <xf numFmtId="164" fontId="9" fillId="12" borderId="9" xfId="0" applyNumberFormat="1" applyFont="1" applyFill="1" applyBorder="1" applyAlignment="1">
      <alignment vertical="center"/>
    </xf>
    <xf numFmtId="0" fontId="5" fillId="10" borderId="7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5" fillId="7" borderId="26" xfId="0" applyFont="1" applyFill="1" applyBorder="1" applyAlignment="1">
      <alignment vertical="center" wrapText="1"/>
    </xf>
    <xf numFmtId="0" fontId="22" fillId="16" borderId="36" xfId="1" applyFont="1" applyFill="1" applyBorder="1" applyAlignment="1">
      <alignment horizontal="center" vertical="center" wrapText="1"/>
    </xf>
    <xf numFmtId="0" fontId="0" fillId="0" borderId="37" xfId="0" applyBorder="1"/>
    <xf numFmtId="4" fontId="20" fillId="9" borderId="13" xfId="0" applyNumberFormat="1" applyFont="1" applyFill="1" applyBorder="1"/>
    <xf numFmtId="4" fontId="23" fillId="9" borderId="13" xfId="0" applyNumberFormat="1" applyFont="1" applyFill="1" applyBorder="1"/>
    <xf numFmtId="0" fontId="0" fillId="17" borderId="13" xfId="0" applyFill="1" applyBorder="1" applyAlignment="1">
      <alignment horizontal="center" vertical="center"/>
    </xf>
    <xf numFmtId="164" fontId="5" fillId="9" borderId="17" xfId="0" applyNumberFormat="1" applyFont="1" applyFill="1" applyBorder="1" applyAlignment="1">
      <alignment vertical="center"/>
    </xf>
    <xf numFmtId="164" fontId="2" fillId="7" borderId="17" xfId="0" applyNumberFormat="1" applyFont="1" applyFill="1" applyBorder="1" applyAlignment="1">
      <alignment vertical="center"/>
    </xf>
    <xf numFmtId="164" fontId="1" fillId="7" borderId="26" xfId="0" applyNumberFormat="1" applyFont="1" applyFill="1" applyBorder="1" applyAlignment="1">
      <alignment vertical="center"/>
    </xf>
    <xf numFmtId="164" fontId="3" fillId="18" borderId="0" xfId="0" applyNumberFormat="1" applyFont="1" applyFill="1" applyAlignment="1">
      <alignment horizontal="center" vertical="center"/>
    </xf>
    <xf numFmtId="0" fontId="1" fillId="7" borderId="7" xfId="0" applyFont="1" applyFill="1" applyBorder="1" applyAlignment="1">
      <alignment vertical="center"/>
    </xf>
    <xf numFmtId="0" fontId="1" fillId="7" borderId="7" xfId="0" applyFont="1" applyFill="1" applyBorder="1" applyAlignment="1">
      <alignment horizontal="center" vertical="center"/>
    </xf>
    <xf numFmtId="0" fontId="0" fillId="19" borderId="13" xfId="0" applyFill="1" applyBorder="1"/>
    <xf numFmtId="0" fontId="6" fillId="0" borderId="13" xfId="0" applyFont="1" applyBorder="1" applyAlignment="1">
      <alignment horizontal="center" vertical="center"/>
    </xf>
    <xf numFmtId="0" fontId="6" fillId="20" borderId="13" xfId="0" applyFont="1" applyFill="1" applyBorder="1" applyAlignment="1">
      <alignment horizontal="center" vertical="center"/>
    </xf>
    <xf numFmtId="0" fontId="6" fillId="20" borderId="13" xfId="0" applyFont="1" applyFill="1" applyBorder="1" applyAlignment="1">
      <alignment horizontal="center" vertical="top"/>
    </xf>
    <xf numFmtId="0" fontId="6" fillId="21" borderId="13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top"/>
    </xf>
    <xf numFmtId="4" fontId="20" fillId="0" borderId="0" xfId="0" applyNumberFormat="1" applyFont="1"/>
    <xf numFmtId="0" fontId="18" fillId="7" borderId="7" xfId="0" applyFont="1" applyFill="1" applyBorder="1" applyAlignment="1">
      <alignment horizontal="center" vertical="center"/>
    </xf>
    <xf numFmtId="164" fontId="18" fillId="9" borderId="7" xfId="0" applyNumberFormat="1" applyFont="1" applyFill="1" applyBorder="1" applyAlignment="1">
      <alignment vertical="center"/>
    </xf>
    <xf numFmtId="0" fontId="18" fillId="7" borderId="23" xfId="0" applyFont="1" applyFill="1" applyBorder="1" applyAlignment="1">
      <alignment horizontal="center" vertical="center"/>
    </xf>
    <xf numFmtId="164" fontId="18" fillId="9" borderId="19" xfId="0" applyNumberFormat="1" applyFont="1" applyFill="1" applyBorder="1" applyAlignment="1">
      <alignment vertical="center"/>
    </xf>
    <xf numFmtId="0" fontId="18" fillId="7" borderId="8" xfId="0" applyFont="1" applyFill="1" applyBorder="1" applyAlignment="1">
      <alignment horizontal="center" vertical="center"/>
    </xf>
    <xf numFmtId="164" fontId="18" fillId="9" borderId="8" xfId="0" applyNumberFormat="1" applyFont="1" applyFill="1" applyBorder="1" applyAlignment="1">
      <alignment vertical="center"/>
    </xf>
    <xf numFmtId="164" fontId="18" fillId="9" borderId="17" xfId="0" applyNumberFormat="1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18" fillId="7" borderId="7" xfId="0" applyFont="1" applyFill="1" applyBorder="1" applyAlignment="1">
      <alignment horizontal="center" vertical="center" wrapText="1"/>
    </xf>
    <xf numFmtId="0" fontId="18" fillId="7" borderId="19" xfId="0" applyFont="1" applyFill="1" applyBorder="1" applyAlignment="1">
      <alignment horizontal="center" vertical="center" wrapText="1"/>
    </xf>
    <xf numFmtId="0" fontId="18" fillId="7" borderId="26" xfId="0" applyFont="1" applyFill="1" applyBorder="1" applyAlignment="1">
      <alignment horizontal="center" vertical="center" wrapText="1"/>
    </xf>
    <xf numFmtId="0" fontId="18" fillId="7" borderId="8" xfId="0" applyFont="1" applyFill="1" applyBorder="1" applyAlignment="1">
      <alignment horizontal="center" vertical="center" wrapText="1"/>
    </xf>
    <xf numFmtId="0" fontId="18" fillId="7" borderId="11" xfId="0" applyFont="1" applyFill="1" applyBorder="1" applyAlignment="1">
      <alignment horizontal="center" vertical="center" wrapText="1"/>
    </xf>
    <xf numFmtId="164" fontId="18" fillId="9" borderId="10" xfId="0" applyNumberFormat="1" applyFont="1" applyFill="1" applyBorder="1" applyAlignment="1">
      <alignment vertical="center"/>
    </xf>
    <xf numFmtId="0" fontId="0" fillId="20" borderId="0" xfId="0" applyFill="1"/>
    <xf numFmtId="0" fontId="18" fillId="7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 wrapText="1"/>
    </xf>
    <xf numFmtId="4" fontId="21" fillId="23" borderId="0" xfId="0" applyNumberFormat="1" applyFont="1" applyFill="1"/>
    <xf numFmtId="4" fontId="20" fillId="21" borderId="0" xfId="1" applyNumberFormat="1" applyFont="1" applyFill="1" applyAlignment="1">
      <alignment horizontal="center" vertical="center"/>
    </xf>
    <xf numFmtId="43" fontId="0" fillId="20" borderId="0" xfId="2" applyFont="1" applyFill="1"/>
    <xf numFmtId="0" fontId="18" fillId="20" borderId="0" xfId="0" applyFont="1" applyFill="1" applyAlignment="1">
      <alignment horizontal="center" vertical="center" wrapText="1"/>
    </xf>
    <xf numFmtId="164" fontId="18" fillId="20" borderId="10" xfId="0" applyNumberFormat="1" applyFont="1" applyFill="1" applyBorder="1" applyAlignment="1">
      <alignment vertical="center"/>
    </xf>
    <xf numFmtId="0" fontId="0" fillId="24" borderId="0" xfId="0" applyFill="1"/>
    <xf numFmtId="0" fontId="26" fillId="24" borderId="0" xfId="0" applyFont="1" applyFill="1"/>
    <xf numFmtId="22" fontId="1" fillId="0" borderId="13" xfId="0" applyNumberFormat="1" applyFont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164" fontId="9" fillId="2" borderId="8" xfId="0" applyNumberFormat="1" applyFont="1" applyFill="1" applyBorder="1" applyAlignment="1">
      <alignment horizontal="center" vertical="center"/>
    </xf>
    <xf numFmtId="164" fontId="9" fillId="2" borderId="9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1" fillId="11" borderId="34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4" fillId="11" borderId="34" xfId="0" applyFont="1" applyFill="1" applyBorder="1" applyAlignment="1">
      <alignment horizontal="center"/>
    </xf>
    <xf numFmtId="164" fontId="9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11" borderId="24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3" fillId="11" borderId="32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26" fillId="14" borderId="12" xfId="0" applyFont="1" applyFill="1" applyBorder="1" applyAlignment="1">
      <alignment horizontal="center"/>
    </xf>
    <xf numFmtId="0" fontId="19" fillId="15" borderId="0" xfId="1" applyFill="1" applyAlignment="1">
      <alignment horizontal="center"/>
    </xf>
    <xf numFmtId="0" fontId="19" fillId="15" borderId="35" xfId="1" applyFill="1" applyBorder="1" applyAlignment="1">
      <alignment horizontal="center"/>
    </xf>
    <xf numFmtId="0" fontId="24" fillId="22" borderId="12" xfId="0" applyFont="1" applyFill="1" applyBorder="1" applyAlignment="1">
      <alignment horizontal="center"/>
    </xf>
    <xf numFmtId="0" fontId="6" fillId="20" borderId="14" xfId="0" applyFont="1" applyFill="1" applyBorder="1" applyAlignment="1">
      <alignment horizontal="center" vertical="center"/>
    </xf>
    <xf numFmtId="0" fontId="6" fillId="20" borderId="32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3">
    <cellStyle name="Comma" xfId="2" builtinId="3"/>
    <cellStyle name="Normal 2" xfId="1" xr:uid="{5BAF2C4F-7EFB-4D00-A4F0-A4547AD95B52}"/>
    <cellStyle name="عادي" xfId="0" builtinId="0"/>
  </cellStyles>
  <dxfs count="0"/>
  <tableStyles count="0" defaultTableStyle="TableStyleMedium2" defaultPivotStyle="PivotStyleLight16"/>
  <colors>
    <mruColors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6</xdr:row>
          <xdr:rowOff>104775</xdr:rowOff>
        </xdr:from>
        <xdr:to>
          <xdr:col>5</xdr:col>
          <xdr:colOff>161925</xdr:colOff>
          <xdr:row>9</xdr:row>
          <xdr:rowOff>19050</xdr:rowOff>
        </xdr:to>
        <xdr:sp macro="" textlink="">
          <xdr:nvSpPr>
            <xdr:cNvPr id="5140" name="CommandButton1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</xdr:row>
          <xdr:rowOff>47625</xdr:rowOff>
        </xdr:from>
        <xdr:to>
          <xdr:col>5</xdr:col>
          <xdr:colOff>171450</xdr:colOff>
          <xdr:row>11</xdr:row>
          <xdr:rowOff>142875</xdr:rowOff>
        </xdr:to>
        <xdr:sp macro="" textlink="">
          <xdr:nvSpPr>
            <xdr:cNvPr id="5146" name="CommandButton2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11</xdr:row>
          <xdr:rowOff>161925</xdr:rowOff>
        </xdr:from>
        <xdr:to>
          <xdr:col>5</xdr:col>
          <xdr:colOff>171450</xdr:colOff>
          <xdr:row>14</xdr:row>
          <xdr:rowOff>76200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14</xdr:row>
          <xdr:rowOff>95250</xdr:rowOff>
        </xdr:from>
        <xdr:to>
          <xdr:col>5</xdr:col>
          <xdr:colOff>190500</xdr:colOff>
          <xdr:row>17</xdr:row>
          <xdr:rowOff>9525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17</xdr:row>
          <xdr:rowOff>28575</xdr:rowOff>
        </xdr:from>
        <xdr:to>
          <xdr:col>5</xdr:col>
          <xdr:colOff>190500</xdr:colOff>
          <xdr:row>19</xdr:row>
          <xdr:rowOff>123825</xdr:rowOff>
        </xdr:to>
        <xdr:sp macro="" textlink="">
          <xdr:nvSpPr>
            <xdr:cNvPr id="5149" name="CommandButton5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962025</xdr:colOff>
          <xdr:row>19</xdr:row>
          <xdr:rowOff>142875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150" name="CommandButton6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294988</xdr:colOff>
      <xdr:row>1</xdr:row>
      <xdr:rowOff>95251</xdr:rowOff>
    </xdr:from>
    <xdr:to>
      <xdr:col>8</xdr:col>
      <xdr:colOff>929987</xdr:colOff>
      <xdr:row>3</xdr:row>
      <xdr:rowOff>31751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02C9C4E-C833-80FB-990E-9072E00C87D1}"/>
            </a:ext>
          </a:extLst>
        </xdr:cNvPr>
        <xdr:cNvSpPr/>
      </xdr:nvSpPr>
      <xdr:spPr>
        <a:xfrm>
          <a:off x="257463" y="279401"/>
          <a:ext cx="4286249" cy="2984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EG"/>
        </a:p>
      </xdr:txBody>
    </xdr:sp>
    <xdr:clientData/>
  </xdr:twoCellAnchor>
  <xdr:twoCellAnchor editAs="oneCell">
    <xdr:from>
      <xdr:col>4</xdr:col>
      <xdr:colOff>357909</xdr:colOff>
      <xdr:row>1</xdr:row>
      <xdr:rowOff>36370</xdr:rowOff>
    </xdr:from>
    <xdr:to>
      <xdr:col>8</xdr:col>
      <xdr:colOff>434686</xdr:colOff>
      <xdr:row>2</xdr:row>
      <xdr:rowOff>130242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0E165E-AA13-81F0-CF77-97F842E9C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764" y="220520"/>
          <a:ext cx="2997777" cy="278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373495</xdr:colOff>
      <xdr:row>3</xdr:row>
      <xdr:rowOff>76778</xdr:rowOff>
    </xdr:from>
    <xdr:to>
      <xdr:col>8</xdr:col>
      <xdr:colOff>835313</xdr:colOff>
      <xdr:row>6</xdr:row>
      <xdr:rowOff>139123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29F5374-892A-260C-AE38-1FB096C4DDF1}"/>
            </a:ext>
          </a:extLst>
        </xdr:cNvPr>
        <xdr:cNvSpPr/>
      </xdr:nvSpPr>
      <xdr:spPr>
        <a:xfrm>
          <a:off x="352137" y="622878"/>
          <a:ext cx="4113068" cy="60844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>
              <a:solidFill>
                <a:schemeClr val="tx1"/>
              </a:solidFill>
              <a:latin typeface="+mn-lt"/>
              <a:cs typeface="+mn-cs"/>
            </a:rPr>
            <a:t>التقرير المالي</a:t>
          </a:r>
          <a:r>
            <a:rPr lang="ar-EG" sz="1600" baseline="0">
              <a:solidFill>
                <a:schemeClr val="tx1"/>
              </a:solidFill>
              <a:latin typeface="+mn-lt"/>
              <a:cs typeface="+mn-cs"/>
            </a:rPr>
            <a:t> </a:t>
          </a:r>
          <a:r>
            <a:rPr lang="ar-SA" sz="1600" baseline="0">
              <a:solidFill>
                <a:schemeClr val="tx1"/>
              </a:solidFill>
              <a:latin typeface="+mn-lt"/>
              <a:cs typeface="+mn-cs"/>
            </a:rPr>
            <a:t>لب</a:t>
          </a:r>
          <a:r>
            <a:rPr lang="ar-EG" sz="1600" baseline="0">
              <a:solidFill>
                <a:schemeClr val="tx1"/>
              </a:solidFill>
              <a:latin typeface="+mn-lt"/>
              <a:cs typeface="+mn-cs"/>
            </a:rPr>
            <a:t>رنامج الزواج الجماعي لقبيله النوافله عام </a:t>
          </a:r>
          <a:r>
            <a:rPr lang="ar-EG" sz="1100" baseline="0">
              <a:solidFill>
                <a:schemeClr val="tx1"/>
              </a:solidFill>
              <a:latin typeface="+mn-lt"/>
              <a:cs typeface="+mn-cs"/>
            </a:rPr>
            <a:t>1448</a:t>
          </a:r>
        </a:p>
        <a:p>
          <a:pPr algn="r" rtl="1"/>
          <a:endParaRPr lang="ar-EG" sz="1100">
            <a:solidFill>
              <a:schemeClr val="tx1"/>
            </a:solidFill>
            <a:latin typeface="+mn-lt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3467100</xdr:colOff>
          <xdr:row>0</xdr:row>
          <xdr:rowOff>9525</xdr:rowOff>
        </xdr:from>
        <xdr:to>
          <xdr:col>5</xdr:col>
          <xdr:colOff>1228725</xdr:colOff>
          <xdr:row>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3467100</xdr:colOff>
          <xdr:row>0</xdr:row>
          <xdr:rowOff>0</xdr:rowOff>
        </xdr:from>
        <xdr:to>
          <xdr:col>5</xdr:col>
          <xdr:colOff>885825</xdr:colOff>
          <xdr:row>3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5</xdr:col>
          <xdr:colOff>161925</xdr:colOff>
          <xdr:row>3</xdr:row>
          <xdr:rowOff>19050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0</xdr:row>
          <xdr:rowOff>0</xdr:rowOff>
        </xdr:from>
        <xdr:to>
          <xdr:col>5</xdr:col>
          <xdr:colOff>752475</xdr:colOff>
          <xdr:row>3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5</xdr:col>
          <xdr:colOff>1152525</xdr:colOff>
          <xdr:row>3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9525</xdr:rowOff>
        </xdr:from>
        <xdr:to>
          <xdr:col>4</xdr:col>
          <xdr:colOff>2371725</xdr:colOff>
          <xdr:row>3</xdr:row>
          <xdr:rowOff>19050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DF11F-C0EE-4BB7-9B56-A1E37D798964}">
  <sheetPr codeName="Sheet1"/>
  <dimension ref="A1:I39"/>
  <sheetViews>
    <sheetView showGridLines="0" showRowColHeaders="0" rightToLeft="1" zoomScale="67" zoomScaleNormal="100" workbookViewId="0">
      <selection activeCell="G12" sqref="G12"/>
    </sheetView>
  </sheetViews>
  <sheetFormatPr defaultColWidth="0" defaultRowHeight="14.25" zeroHeight="1" x14ac:dyDescent="0.2"/>
  <cols>
    <col min="1" max="2" width="13.625" style="3" customWidth="1"/>
    <col min="3" max="3" width="15.625" style="3" customWidth="1"/>
    <col min="4" max="8" width="9.625" style="2" customWidth="1"/>
    <col min="9" max="9" width="15.625" style="2" customWidth="1"/>
    <col min="10" max="16384" width="8.625" style="2" hidden="1"/>
  </cols>
  <sheetData>
    <row r="1" spans="2:9" ht="15" thickBot="1" x14ac:dyDescent="0.25">
      <c r="B1" s="4"/>
      <c r="C1" s="8"/>
    </row>
    <row r="2" spans="2:9" ht="15" thickTop="1" x14ac:dyDescent="0.2">
      <c r="B2" s="4"/>
      <c r="C2" s="8"/>
      <c r="D2" s="5"/>
      <c r="E2" s="5"/>
      <c r="F2" s="5"/>
      <c r="G2" s="5"/>
      <c r="H2" s="6"/>
      <c r="I2" s="6"/>
    </row>
    <row r="3" spans="2:9" x14ac:dyDescent="0.2">
      <c r="B3" s="4"/>
      <c r="C3" s="8"/>
      <c r="D3" s="6"/>
      <c r="E3" s="6"/>
      <c r="F3" s="6"/>
      <c r="G3" s="6"/>
      <c r="H3" s="6"/>
      <c r="I3" s="6"/>
    </row>
    <row r="4" spans="2:9" ht="15" thickBot="1" x14ac:dyDescent="0.25">
      <c r="B4" s="4"/>
      <c r="C4" s="8"/>
      <c r="D4" s="7"/>
      <c r="E4" s="7"/>
      <c r="F4" s="7"/>
      <c r="G4" s="7"/>
      <c r="H4" s="6"/>
      <c r="I4" s="6"/>
    </row>
    <row r="5" spans="2:9" ht="15" thickTop="1" x14ac:dyDescent="0.2">
      <c r="B5" s="4"/>
      <c r="C5" s="8"/>
    </row>
    <row r="6" spans="2:9" x14ac:dyDescent="0.2">
      <c r="B6" s="4"/>
      <c r="C6" s="8"/>
    </row>
    <row r="7" spans="2:9" x14ac:dyDescent="0.2">
      <c r="B7" s="4"/>
      <c r="C7" s="8"/>
    </row>
    <row r="8" spans="2:9" x14ac:dyDescent="0.2">
      <c r="B8" s="4"/>
      <c r="C8" s="8"/>
    </row>
    <row r="9" spans="2:9" x14ac:dyDescent="0.2">
      <c r="B9" s="4"/>
      <c r="C9" s="8"/>
      <c r="E9" s="9"/>
      <c r="F9" s="9"/>
      <c r="G9" s="9"/>
      <c r="H9" s="9"/>
    </row>
    <row r="10" spans="2:9" x14ac:dyDescent="0.2">
      <c r="B10" s="4"/>
      <c r="C10" s="8"/>
    </row>
    <row r="11" spans="2:9" x14ac:dyDescent="0.2">
      <c r="B11" s="4"/>
      <c r="C11" s="8"/>
    </row>
    <row r="12" spans="2:9" x14ac:dyDescent="0.2">
      <c r="B12" s="4"/>
      <c r="C12" s="8"/>
    </row>
    <row r="13" spans="2:9" x14ac:dyDescent="0.2">
      <c r="B13" s="4"/>
      <c r="C13" s="8"/>
    </row>
    <row r="14" spans="2:9" x14ac:dyDescent="0.2">
      <c r="B14" s="4"/>
      <c r="C14" s="8"/>
    </row>
    <row r="15" spans="2:9" x14ac:dyDescent="0.2">
      <c r="B15" s="4"/>
      <c r="C15" s="8"/>
    </row>
    <row r="16" spans="2:9" x14ac:dyDescent="0.2">
      <c r="B16" s="4"/>
      <c r="C16" s="8"/>
    </row>
    <row r="17" spans="2:3" x14ac:dyDescent="0.2">
      <c r="B17" s="4"/>
      <c r="C17" s="8"/>
    </row>
    <row r="18" spans="2:3" x14ac:dyDescent="0.2">
      <c r="B18" s="4"/>
      <c r="C18" s="8"/>
    </row>
    <row r="19" spans="2:3" x14ac:dyDescent="0.2">
      <c r="B19" s="4"/>
      <c r="C19" s="8"/>
    </row>
    <row r="20" spans="2:3" x14ac:dyDescent="0.2">
      <c r="B20" s="4"/>
      <c r="C20" s="8"/>
    </row>
    <row r="21" spans="2:3" x14ac:dyDescent="0.2">
      <c r="B21" s="4"/>
      <c r="C21" s="8"/>
    </row>
    <row r="22" spans="2:3" x14ac:dyDescent="0.2">
      <c r="B22" s="4"/>
      <c r="C22" s="8"/>
    </row>
    <row r="23" spans="2:3" x14ac:dyDescent="0.2">
      <c r="B23" s="4"/>
      <c r="C23" s="8"/>
    </row>
    <row r="24" spans="2:3" x14ac:dyDescent="0.2">
      <c r="B24" s="4"/>
      <c r="C24" s="8"/>
    </row>
    <row r="25" spans="2:3" x14ac:dyDescent="0.2">
      <c r="B25" s="4"/>
      <c r="C25" s="8"/>
    </row>
    <row r="26" spans="2:3" x14ac:dyDescent="0.2">
      <c r="B26" s="4"/>
      <c r="C26" s="8"/>
    </row>
    <row r="27" spans="2:3" x14ac:dyDescent="0.2">
      <c r="B27" s="4"/>
      <c r="C27" s="8"/>
    </row>
    <row r="28" spans="2:3" x14ac:dyDescent="0.2">
      <c r="B28" s="4"/>
      <c r="C28" s="8"/>
    </row>
    <row r="29" spans="2:3" x14ac:dyDescent="0.2">
      <c r="B29" s="4"/>
      <c r="C29" s="8"/>
    </row>
    <row r="30" spans="2:3" x14ac:dyDescent="0.2">
      <c r="B30" s="4"/>
      <c r="C30" s="8"/>
    </row>
    <row r="31" spans="2:3" x14ac:dyDescent="0.2">
      <c r="B31" s="4"/>
      <c r="C31" s="8"/>
    </row>
    <row r="32" spans="2:3" x14ac:dyDescent="0.2">
      <c r="B32" s="4"/>
      <c r="C32" s="8"/>
    </row>
    <row r="33" spans="2:3" x14ac:dyDescent="0.2">
      <c r="B33" s="4"/>
      <c r="C33" s="8"/>
    </row>
    <row r="34" spans="2:3" x14ac:dyDescent="0.2">
      <c r="B34" s="4"/>
      <c r="C34" s="8"/>
    </row>
    <row r="35" spans="2:3" x14ac:dyDescent="0.2">
      <c r="B35" s="4"/>
      <c r="C35" s="8"/>
    </row>
    <row r="36" spans="2:3" x14ac:dyDescent="0.2">
      <c r="B36" s="4"/>
      <c r="C36" s="8"/>
    </row>
    <row r="37" spans="2:3" x14ac:dyDescent="0.2">
      <c r="B37" s="4"/>
      <c r="C37" s="8"/>
    </row>
    <row r="38" spans="2:3" x14ac:dyDescent="0.2">
      <c r="B38" s="4"/>
      <c r="C38" s="8"/>
    </row>
    <row r="39" spans="2:3" x14ac:dyDescent="0.2">
      <c r="B39" s="4"/>
      <c r="C39" s="8"/>
    </row>
  </sheetData>
  <sheetProtection algorithmName="SHA-512" hashValue="97jNOte+HJhfdwOmGLH48gVtY8frZV2ard76/s/akec+8GFaStYCPfzoi/5kCQNfghzGvdm7DJRUVAOWXmyPng==" saltValue="bIwzMcx7IWRTyNv7qQe2G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50" r:id="rId4" name="CommandButton6">
          <controlPr defaultSize="0" autoLine="0" r:id="rId5">
            <anchor moveWithCells="1">
              <from>
                <xdr:col>1</xdr:col>
                <xdr:colOff>962025</xdr:colOff>
                <xdr:row>19</xdr:row>
                <xdr:rowOff>142875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  <mc:Fallback>
        <control shapeId="5150" r:id="rId4" name="CommandButton6"/>
      </mc:Fallback>
    </mc:AlternateContent>
    <mc:AlternateContent xmlns:mc="http://schemas.openxmlformats.org/markup-compatibility/2006">
      <mc:Choice Requires="x14">
        <control shapeId="5149" r:id="rId6" name="CommandButton5">
          <controlPr defaultSize="0" autoLine="0" r:id="rId7">
            <anchor moveWithCells="1">
              <from>
                <xdr:col>1</xdr:col>
                <xdr:colOff>981075</xdr:colOff>
                <xdr:row>17</xdr:row>
                <xdr:rowOff>28575</xdr:rowOff>
              </from>
              <to>
                <xdr:col>5</xdr:col>
                <xdr:colOff>190500</xdr:colOff>
                <xdr:row>19</xdr:row>
                <xdr:rowOff>123825</xdr:rowOff>
              </to>
            </anchor>
          </controlPr>
        </control>
      </mc:Choice>
      <mc:Fallback>
        <control shapeId="5149" r:id="rId6" name="CommandButton5"/>
      </mc:Fallback>
    </mc:AlternateContent>
    <mc:AlternateContent xmlns:mc="http://schemas.openxmlformats.org/markup-compatibility/2006">
      <mc:Choice Requires="x14">
        <control shapeId="5148" r:id="rId8" name="CommandButton4">
          <controlPr defaultSize="0" autoLine="0" r:id="rId9">
            <anchor moveWithCells="1">
              <from>
                <xdr:col>1</xdr:col>
                <xdr:colOff>990600</xdr:colOff>
                <xdr:row>14</xdr:row>
                <xdr:rowOff>95250</xdr:rowOff>
              </from>
              <to>
                <xdr:col>5</xdr:col>
                <xdr:colOff>190500</xdr:colOff>
                <xdr:row>17</xdr:row>
                <xdr:rowOff>9525</xdr:rowOff>
              </to>
            </anchor>
          </controlPr>
        </control>
      </mc:Choice>
      <mc:Fallback>
        <control shapeId="5148" r:id="rId8" name="CommandButton4"/>
      </mc:Fallback>
    </mc:AlternateContent>
    <mc:AlternateContent xmlns:mc="http://schemas.openxmlformats.org/markup-compatibility/2006">
      <mc:Choice Requires="x14">
        <control shapeId="5147" r:id="rId10" name="CommandButton3">
          <controlPr defaultSize="0" autoLine="0" r:id="rId11">
            <anchor moveWithCells="1">
              <from>
                <xdr:col>1</xdr:col>
                <xdr:colOff>1000125</xdr:colOff>
                <xdr:row>11</xdr:row>
                <xdr:rowOff>161925</xdr:rowOff>
              </from>
              <to>
                <xdr:col>5</xdr:col>
                <xdr:colOff>171450</xdr:colOff>
                <xdr:row>14</xdr:row>
                <xdr:rowOff>76200</xdr:rowOff>
              </to>
            </anchor>
          </controlPr>
        </control>
      </mc:Choice>
      <mc:Fallback>
        <control shapeId="5147" r:id="rId10" name="CommandButton3"/>
      </mc:Fallback>
    </mc:AlternateContent>
    <mc:AlternateContent xmlns:mc="http://schemas.openxmlformats.org/markup-compatibility/2006">
      <mc:Choice Requires="x14">
        <control shapeId="5146" r:id="rId12" name="CommandButton2">
          <controlPr defaultSize="0" autoLine="0" r:id="rId13">
            <anchor moveWithCells="1">
              <from>
                <xdr:col>1</xdr:col>
                <xdr:colOff>1009650</xdr:colOff>
                <xdr:row>9</xdr:row>
                <xdr:rowOff>47625</xdr:rowOff>
              </from>
              <to>
                <xdr:col>5</xdr:col>
                <xdr:colOff>171450</xdr:colOff>
                <xdr:row>11</xdr:row>
                <xdr:rowOff>142875</xdr:rowOff>
              </to>
            </anchor>
          </controlPr>
        </control>
      </mc:Choice>
      <mc:Fallback>
        <control shapeId="5146" r:id="rId12" name="CommandButton2"/>
      </mc:Fallback>
    </mc:AlternateContent>
    <mc:AlternateContent xmlns:mc="http://schemas.openxmlformats.org/markup-compatibility/2006">
      <mc:Choice Requires="x14">
        <control shapeId="5140" r:id="rId14" name="CommandButton1">
          <controlPr defaultSize="0" autoLine="0" r:id="rId15">
            <anchor moveWithCells="1">
              <from>
                <xdr:col>1</xdr:col>
                <xdr:colOff>1009650</xdr:colOff>
                <xdr:row>6</xdr:row>
                <xdr:rowOff>104775</xdr:rowOff>
              </from>
              <to>
                <xdr:col>5</xdr:col>
                <xdr:colOff>161925</xdr:colOff>
                <xdr:row>9</xdr:row>
                <xdr:rowOff>19050</xdr:rowOff>
              </to>
            </anchor>
          </controlPr>
        </control>
      </mc:Choice>
      <mc:Fallback>
        <control shapeId="5140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C867-73C3-4737-A823-60E539667570}">
  <sheetPr codeName="Sheet3"/>
  <dimension ref="A1:L33"/>
  <sheetViews>
    <sheetView showGridLines="0" rightToLeft="1" topLeftCell="A26" zoomScale="70" zoomScaleNormal="70" workbookViewId="0">
      <selection activeCell="A23" sqref="A23"/>
    </sheetView>
  </sheetViews>
  <sheetFormatPr defaultRowHeight="14.25" x14ac:dyDescent="0.2"/>
  <cols>
    <col min="1" max="1" width="70.5" customWidth="1"/>
    <col min="2" max="2" width="45.625" customWidth="1"/>
    <col min="3" max="3" width="21" customWidth="1"/>
    <col min="4" max="4" width="29.875" customWidth="1"/>
    <col min="5" max="5" width="15.75" style="15" customWidth="1"/>
    <col min="6" max="6" width="28.375" bestFit="1" customWidth="1"/>
    <col min="7" max="7" width="28.875" style="18" customWidth="1"/>
    <col min="8" max="8" width="16" customWidth="1"/>
    <col min="9" max="9" width="16.125" customWidth="1"/>
  </cols>
  <sheetData>
    <row r="1" spans="1:12" ht="24.95" customHeight="1" x14ac:dyDescent="0.2">
      <c r="A1" s="151" t="s">
        <v>2</v>
      </c>
      <c r="B1" s="151"/>
      <c r="C1" s="51"/>
      <c r="D1" s="24"/>
      <c r="E1" s="14"/>
      <c r="F1" s="10"/>
      <c r="G1" s="16"/>
      <c r="H1" s="10"/>
      <c r="I1" s="10"/>
      <c r="J1" s="10"/>
      <c r="K1" s="10"/>
      <c r="L1" s="10"/>
    </row>
    <row r="2" spans="1:12" ht="24.95" customHeight="1" x14ac:dyDescent="0.2">
      <c r="A2" s="151"/>
      <c r="B2" s="151"/>
      <c r="C2" s="51"/>
      <c r="D2" s="24"/>
      <c r="E2" s="14"/>
      <c r="F2" s="10"/>
      <c r="G2" s="16"/>
      <c r="H2" s="10"/>
      <c r="I2" s="10"/>
      <c r="J2" s="10"/>
      <c r="K2" s="10"/>
      <c r="L2" s="10"/>
    </row>
    <row r="3" spans="1:12" ht="24.95" customHeight="1" x14ac:dyDescent="0.2">
      <c r="A3" s="151"/>
      <c r="B3" s="151"/>
      <c r="C3" s="51"/>
      <c r="D3" s="24"/>
      <c r="E3" s="14"/>
      <c r="F3" s="10"/>
      <c r="G3" s="16"/>
      <c r="H3" s="10"/>
      <c r="I3" s="10"/>
      <c r="J3" s="10"/>
      <c r="K3" s="10"/>
      <c r="L3" s="10"/>
    </row>
    <row r="4" spans="1:12" ht="24.95" customHeight="1" x14ac:dyDescent="0.2">
      <c r="A4" s="153" t="s">
        <v>16</v>
      </c>
      <c r="B4" s="153"/>
      <c r="C4" s="153"/>
      <c r="D4" s="153"/>
      <c r="E4" s="19"/>
      <c r="F4" s="19"/>
      <c r="G4" s="23"/>
      <c r="H4" s="23"/>
      <c r="I4" s="25"/>
      <c r="J4" s="10"/>
      <c r="K4" s="10"/>
      <c r="L4" s="10"/>
    </row>
    <row r="5" spans="1:12" ht="24.95" customHeight="1" x14ac:dyDescent="0.2">
      <c r="A5" s="153"/>
      <c r="B5" s="153"/>
      <c r="C5" s="153"/>
      <c r="D5" s="153"/>
      <c r="E5" s="19"/>
      <c r="F5" s="19"/>
      <c r="G5" s="23"/>
      <c r="H5" s="23"/>
      <c r="I5" s="25"/>
      <c r="J5" s="10"/>
      <c r="K5" s="10"/>
      <c r="L5" s="10"/>
    </row>
    <row r="6" spans="1:12" ht="0.95" customHeight="1" x14ac:dyDescent="0.2">
      <c r="A6" s="153"/>
      <c r="B6" s="153"/>
      <c r="C6" s="153"/>
      <c r="D6" s="153"/>
      <c r="E6" s="19"/>
      <c r="F6" s="19"/>
      <c r="G6" s="23"/>
      <c r="H6" s="23"/>
      <c r="I6" s="25"/>
      <c r="J6" s="10"/>
      <c r="K6" s="10"/>
      <c r="L6" s="10"/>
    </row>
    <row r="7" spans="1:12" s="56" customFormat="1" ht="35.1" customHeight="1" x14ac:dyDescent="0.3">
      <c r="A7" s="48" t="s">
        <v>7</v>
      </c>
      <c r="B7" s="48" t="s">
        <v>70</v>
      </c>
      <c r="C7" s="48"/>
      <c r="D7" s="48" t="s">
        <v>71</v>
      </c>
      <c r="E7" s="55"/>
      <c r="F7" s="55"/>
      <c r="G7" s="55"/>
      <c r="H7" s="38"/>
      <c r="I7" s="38"/>
      <c r="J7" s="38"/>
    </row>
    <row r="8" spans="1:12" ht="35.1" customHeight="1" x14ac:dyDescent="0.2">
      <c r="A8" s="43" t="s">
        <v>52</v>
      </c>
      <c r="B8" s="28" t="s">
        <v>53</v>
      </c>
      <c r="C8" s="28"/>
      <c r="D8" s="146">
        <v>46179.25</v>
      </c>
      <c r="E8" s="23"/>
      <c r="F8" s="23"/>
      <c r="G8" s="23"/>
      <c r="H8" s="10"/>
      <c r="I8" s="10"/>
      <c r="J8" s="10"/>
    </row>
    <row r="9" spans="1:12" ht="35.1" customHeight="1" x14ac:dyDescent="0.2">
      <c r="A9" s="28" t="s">
        <v>54</v>
      </c>
      <c r="B9" s="28" t="s">
        <v>53</v>
      </c>
      <c r="C9" s="28"/>
      <c r="D9" s="28" t="s">
        <v>55</v>
      </c>
      <c r="E9" s="23"/>
      <c r="F9" s="23"/>
      <c r="G9" s="23"/>
      <c r="H9" s="10"/>
      <c r="I9" s="10"/>
      <c r="J9" s="10"/>
    </row>
    <row r="10" spans="1:12" ht="35.1" customHeight="1" x14ac:dyDescent="0.2">
      <c r="A10" s="28" t="s">
        <v>56</v>
      </c>
      <c r="B10" s="28" t="s">
        <v>53</v>
      </c>
      <c r="C10" s="28"/>
      <c r="D10" s="28" t="s">
        <v>57</v>
      </c>
      <c r="E10" s="23"/>
      <c r="F10" s="23"/>
      <c r="G10" s="23"/>
      <c r="H10" s="10"/>
      <c r="I10" s="10"/>
      <c r="J10" s="10"/>
    </row>
    <row r="11" spans="1:12" ht="35.1" customHeight="1" x14ac:dyDescent="0.2">
      <c r="A11" s="28" t="s">
        <v>58</v>
      </c>
      <c r="B11" s="28" t="s">
        <v>53</v>
      </c>
      <c r="C11" s="28"/>
      <c r="D11" s="28" t="s">
        <v>59</v>
      </c>
      <c r="E11" s="23"/>
      <c r="F11" s="23"/>
      <c r="G11" s="23"/>
      <c r="H11" s="10"/>
      <c r="I11" s="10"/>
      <c r="J11" s="10"/>
    </row>
    <row r="12" spans="1:12" ht="35.1" customHeight="1" x14ac:dyDescent="0.2">
      <c r="A12" s="28" t="s">
        <v>60</v>
      </c>
      <c r="B12" s="28" t="s">
        <v>53</v>
      </c>
      <c r="C12" s="28"/>
      <c r="D12" s="28" t="s">
        <v>61</v>
      </c>
      <c r="E12" s="23"/>
      <c r="F12" s="23"/>
      <c r="G12" s="23"/>
      <c r="H12" s="10"/>
      <c r="I12" s="10"/>
      <c r="J12" s="10"/>
    </row>
    <row r="13" spans="1:12" ht="35.1" customHeight="1" x14ac:dyDescent="0.2">
      <c r="A13" s="28" t="s">
        <v>62</v>
      </c>
      <c r="B13" s="28" t="s">
        <v>53</v>
      </c>
      <c r="C13" s="28"/>
      <c r="D13" s="28" t="s">
        <v>63</v>
      </c>
      <c r="E13" s="24"/>
      <c r="F13" s="24"/>
      <c r="G13" s="24"/>
      <c r="H13" s="10"/>
      <c r="I13" s="10"/>
      <c r="J13" s="10"/>
    </row>
    <row r="14" spans="1:12" ht="35.1" customHeight="1" x14ac:dyDescent="0.2">
      <c r="A14" s="28" t="s">
        <v>64</v>
      </c>
      <c r="B14" s="28" t="s">
        <v>53</v>
      </c>
      <c r="C14" s="28"/>
      <c r="D14" s="28" t="s">
        <v>65</v>
      </c>
      <c r="E14" s="24"/>
      <c r="F14" s="24"/>
      <c r="G14" s="24"/>
      <c r="H14" s="10"/>
      <c r="I14" s="10"/>
      <c r="J14" s="10"/>
    </row>
    <row r="15" spans="1:12" ht="35.1" customHeight="1" x14ac:dyDescent="0.2">
      <c r="A15" s="28" t="s">
        <v>66</v>
      </c>
      <c r="B15" s="28" t="s">
        <v>53</v>
      </c>
      <c r="C15" s="28"/>
      <c r="D15" s="28" t="s">
        <v>65</v>
      </c>
      <c r="E15" s="24"/>
      <c r="F15" s="24"/>
      <c r="G15" s="24"/>
      <c r="H15" s="10"/>
      <c r="I15" s="10"/>
      <c r="J15" s="10"/>
    </row>
    <row r="16" spans="1:12" ht="35.1" customHeight="1" x14ac:dyDescent="0.2">
      <c r="A16" s="28" t="s">
        <v>67</v>
      </c>
      <c r="B16" s="28" t="s">
        <v>53</v>
      </c>
      <c r="C16" s="28"/>
      <c r="D16" s="28" t="s">
        <v>68</v>
      </c>
      <c r="E16" s="24"/>
      <c r="F16" s="24"/>
      <c r="G16" s="24"/>
      <c r="H16" s="10"/>
      <c r="I16" s="10"/>
      <c r="J16" s="10"/>
    </row>
    <row r="17" spans="1:12" ht="35.1" customHeight="1" x14ac:dyDescent="0.2">
      <c r="A17" s="28"/>
      <c r="B17" s="28"/>
      <c r="C17" s="28"/>
      <c r="D17" s="28"/>
      <c r="E17" s="24"/>
      <c r="F17" s="24"/>
      <c r="G17" s="24"/>
      <c r="H17" s="10"/>
      <c r="I17" s="10"/>
      <c r="J17" s="10"/>
    </row>
    <row r="18" spans="1:12" ht="24.95" customHeight="1" thickBot="1" x14ac:dyDescent="0.35">
      <c r="A18" s="152"/>
      <c r="B18" s="152"/>
      <c r="C18" s="152"/>
      <c r="D18" s="152"/>
      <c r="E18" s="152"/>
      <c r="F18" s="152"/>
      <c r="G18" s="31"/>
      <c r="H18" s="24"/>
      <c r="I18" s="24"/>
      <c r="J18" s="10"/>
      <c r="K18" s="10"/>
      <c r="L18" s="10"/>
    </row>
    <row r="19" spans="1:12" ht="75.95" customHeight="1" thickTop="1" thickBot="1" x14ac:dyDescent="0.25">
      <c r="A19" s="26" t="s">
        <v>6</v>
      </c>
      <c r="B19" s="26" t="s">
        <v>8</v>
      </c>
      <c r="C19" s="26" t="s">
        <v>22</v>
      </c>
      <c r="D19" s="27" t="s">
        <v>12</v>
      </c>
      <c r="E19" s="26" t="s">
        <v>9</v>
      </c>
      <c r="F19" s="26" t="s">
        <v>314</v>
      </c>
      <c r="G19"/>
    </row>
    <row r="20" spans="1:12" ht="60" customHeight="1" thickTop="1" thickBot="1" x14ac:dyDescent="0.3">
      <c r="A20" s="63" t="s">
        <v>11</v>
      </c>
      <c r="B20" s="67" t="s">
        <v>13</v>
      </c>
      <c r="C20" s="67" t="s">
        <v>24</v>
      </c>
      <c r="D20" s="73">
        <v>18200</v>
      </c>
      <c r="E20" s="61" t="s">
        <v>33</v>
      </c>
      <c r="F20" s="63" t="s">
        <v>315</v>
      </c>
      <c r="G20"/>
      <c r="H20" s="13"/>
    </row>
    <row r="21" spans="1:12" ht="60" customHeight="1" thickTop="1" thickBot="1" x14ac:dyDescent="0.25">
      <c r="A21" s="62" t="s">
        <v>15</v>
      </c>
      <c r="B21" s="70" t="s">
        <v>17</v>
      </c>
      <c r="C21" s="70" t="s">
        <v>25</v>
      </c>
      <c r="D21" s="72">
        <v>10860</v>
      </c>
      <c r="E21" s="60" t="s">
        <v>33</v>
      </c>
      <c r="F21" s="63" t="s">
        <v>316</v>
      </c>
      <c r="G21"/>
    </row>
    <row r="22" spans="1:12" ht="60" customHeight="1" thickTop="1" thickBot="1" x14ac:dyDescent="0.25">
      <c r="A22" s="62" t="s">
        <v>18</v>
      </c>
      <c r="B22" s="70" t="s">
        <v>20</v>
      </c>
      <c r="C22" s="70" t="s">
        <v>26</v>
      </c>
      <c r="D22" s="72">
        <v>80000</v>
      </c>
      <c r="E22" s="60" t="s">
        <v>33</v>
      </c>
      <c r="F22" s="63" t="s">
        <v>339</v>
      </c>
      <c r="G22"/>
    </row>
    <row r="23" spans="1:12" ht="60" customHeight="1" thickTop="1" thickBot="1" x14ac:dyDescent="0.25">
      <c r="A23" s="62" t="s">
        <v>19</v>
      </c>
      <c r="B23" s="70" t="s">
        <v>21</v>
      </c>
      <c r="C23" s="70" t="s">
        <v>23</v>
      </c>
      <c r="D23" s="72">
        <v>6118</v>
      </c>
      <c r="E23" s="60" t="s">
        <v>33</v>
      </c>
      <c r="F23" s="63" t="s">
        <v>317</v>
      </c>
      <c r="G23"/>
    </row>
    <row r="24" spans="1:12" ht="60" customHeight="1" thickTop="1" thickBot="1" x14ac:dyDescent="0.25">
      <c r="A24" s="62" t="s">
        <v>164</v>
      </c>
      <c r="B24" s="74" t="s">
        <v>463</v>
      </c>
      <c r="C24" s="74"/>
      <c r="D24" s="72">
        <v>238</v>
      </c>
      <c r="E24" s="60" t="s">
        <v>33</v>
      </c>
      <c r="F24" s="63" t="s">
        <v>319</v>
      </c>
      <c r="G24"/>
    </row>
    <row r="25" spans="1:12" ht="60" customHeight="1" thickTop="1" thickBot="1" x14ac:dyDescent="0.25">
      <c r="A25" s="62" t="s">
        <v>340</v>
      </c>
      <c r="B25" s="74" t="s">
        <v>311</v>
      </c>
      <c r="C25" s="74"/>
      <c r="D25" s="108">
        <v>600</v>
      </c>
      <c r="E25" s="60" t="s">
        <v>33</v>
      </c>
      <c r="F25" s="63" t="s">
        <v>461</v>
      </c>
      <c r="G25"/>
    </row>
    <row r="26" spans="1:12" ht="60" customHeight="1" thickTop="1" thickBot="1" x14ac:dyDescent="0.25">
      <c r="A26" s="62" t="s">
        <v>312</v>
      </c>
      <c r="B26" s="74" t="s">
        <v>311</v>
      </c>
      <c r="C26" s="74"/>
      <c r="D26" s="108">
        <v>50</v>
      </c>
      <c r="E26" s="60" t="s">
        <v>33</v>
      </c>
      <c r="F26" s="63" t="s">
        <v>462</v>
      </c>
      <c r="G26"/>
    </row>
    <row r="27" spans="1:12" ht="60" customHeight="1" thickTop="1" thickBot="1" x14ac:dyDescent="0.25">
      <c r="A27" s="62" t="s">
        <v>308</v>
      </c>
      <c r="B27" s="74" t="s">
        <v>309</v>
      </c>
      <c r="C27" s="74"/>
      <c r="D27" s="108">
        <v>738</v>
      </c>
      <c r="E27" s="60" t="s">
        <v>33</v>
      </c>
      <c r="F27" s="63" t="s">
        <v>318</v>
      </c>
      <c r="G27"/>
    </row>
    <row r="28" spans="1:12" ht="24.95" customHeight="1" thickTop="1" thickBot="1" x14ac:dyDescent="0.25">
      <c r="A28" s="68" t="s">
        <v>464</v>
      </c>
      <c r="B28" s="69"/>
      <c r="C28" s="69"/>
      <c r="D28" s="69"/>
      <c r="E28" s="69"/>
      <c r="F28" s="109"/>
      <c r="G28"/>
    </row>
    <row r="29" spans="1:12" ht="14.45" customHeight="1" thickTop="1" x14ac:dyDescent="0.2">
      <c r="F29" s="1"/>
      <c r="G29" s="147" t="e">
        <f>SUMI</f>
        <v>#NAME?</v>
      </c>
    </row>
    <row r="30" spans="1:12" ht="14.1" customHeight="1" x14ac:dyDescent="0.2">
      <c r="F30" s="150"/>
      <c r="G30" s="148"/>
    </row>
    <row r="31" spans="1:12" ht="14.1" customHeight="1" x14ac:dyDescent="0.2">
      <c r="F31" s="150"/>
      <c r="G31" s="148"/>
    </row>
    <row r="32" spans="1:12" ht="14.45" customHeight="1" thickBot="1" x14ac:dyDescent="0.25">
      <c r="F32" s="1"/>
      <c r="G32" s="149"/>
    </row>
    <row r="33" ht="15" thickTop="1" x14ac:dyDescent="0.2"/>
  </sheetData>
  <sheetProtection algorithmName="SHA-512" hashValue="Db9/qZyeELJ90MLMCEW971FB8kvjSQ9Kx776EmJMLA34ei389rBznjpwbSE9U2ibYUsHKSSn6w1KLZShL/RiNA==" saltValue="SgW3LfENJRaUsFrBRlcm1w==" spinCount="100000" sheet="1" formatCells="0" formatColumns="0" formatRows="0" insertColumns="0" insertRows="0" insertHyperlinks="0" deleteColumns="0" deleteRows="0" sort="0" autoFilter="0" pivotTables="0"/>
  <mergeCells count="5">
    <mergeCell ref="G29:G32"/>
    <mergeCell ref="F30:F31"/>
    <mergeCell ref="A1:B3"/>
    <mergeCell ref="A18:F18"/>
    <mergeCell ref="A4:D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autoPict="0" r:id="rId5">
            <anchor moveWithCells="1">
              <from>
                <xdr:col>1</xdr:col>
                <xdr:colOff>3467100</xdr:colOff>
                <xdr:row>0</xdr:row>
                <xdr:rowOff>9525</xdr:rowOff>
              </from>
              <to>
                <xdr:col>5</xdr:col>
                <xdr:colOff>1228725</xdr:colOff>
                <xdr:row>3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5A81-B94E-42BC-91C5-496C0E2E9F6B}">
  <sheetPr codeName="Sheet4"/>
  <dimension ref="A1:J27"/>
  <sheetViews>
    <sheetView rightToLeft="1" zoomScale="70" zoomScaleNormal="70" workbookViewId="0">
      <selection activeCell="C6" sqref="C6"/>
    </sheetView>
  </sheetViews>
  <sheetFormatPr defaultRowHeight="14.25" x14ac:dyDescent="0.2"/>
  <cols>
    <col min="1" max="1" width="70.875" customWidth="1"/>
    <col min="2" max="2" width="45.625" customWidth="1"/>
    <col min="3" max="3" width="20.625" customWidth="1"/>
    <col min="4" max="4" width="30.625" customWidth="1"/>
    <col min="5" max="5" width="19.625" customWidth="1"/>
    <col min="6" max="6" width="18.375" customWidth="1"/>
    <col min="7" max="7" width="17.625" bestFit="1" customWidth="1"/>
    <col min="8" max="8" width="9" customWidth="1"/>
    <col min="9" max="9" width="17.5" customWidth="1"/>
  </cols>
  <sheetData>
    <row r="1" spans="1:10" ht="24.95" customHeight="1" x14ac:dyDescent="0.2">
      <c r="A1" s="151" t="s">
        <v>0</v>
      </c>
      <c r="B1" s="151"/>
      <c r="C1" s="47"/>
      <c r="D1" s="10"/>
      <c r="E1" s="10"/>
      <c r="F1" s="10"/>
      <c r="G1" s="10"/>
      <c r="H1" s="10"/>
      <c r="I1" s="10"/>
      <c r="J1" s="10"/>
    </row>
    <row r="2" spans="1:10" ht="24.95" customHeight="1" x14ac:dyDescent="0.2">
      <c r="A2" s="151"/>
      <c r="B2" s="151"/>
      <c r="C2" s="47"/>
      <c r="D2" s="10"/>
      <c r="E2" s="10"/>
      <c r="F2" s="10"/>
      <c r="G2" s="10"/>
      <c r="H2" s="10"/>
      <c r="I2" s="10"/>
      <c r="J2" s="10"/>
    </row>
    <row r="3" spans="1:10" ht="24.95" customHeight="1" x14ac:dyDescent="0.2">
      <c r="A3" s="151"/>
      <c r="B3" s="151"/>
      <c r="C3" s="47"/>
      <c r="D3" s="10"/>
      <c r="E3" s="10"/>
      <c r="F3" s="10"/>
      <c r="G3" s="10"/>
      <c r="H3" s="10"/>
      <c r="I3" s="10"/>
      <c r="J3" s="10"/>
    </row>
    <row r="4" spans="1:10" ht="24.95" customHeight="1" x14ac:dyDescent="0.2">
      <c r="A4" s="153" t="s">
        <v>159</v>
      </c>
      <c r="B4" s="153"/>
      <c r="C4" s="153"/>
      <c r="D4" s="153"/>
      <c r="E4" s="153"/>
      <c r="F4" s="153"/>
      <c r="G4" s="1"/>
      <c r="H4" s="25"/>
      <c r="I4" s="10"/>
      <c r="J4" s="10"/>
    </row>
    <row r="5" spans="1:10" ht="24.95" customHeight="1" x14ac:dyDescent="0.2">
      <c r="A5" s="153"/>
      <c r="B5" s="153"/>
      <c r="C5" s="153"/>
      <c r="D5" s="153"/>
      <c r="E5" s="153"/>
      <c r="F5" s="153"/>
      <c r="G5" s="25"/>
      <c r="H5" s="25"/>
      <c r="I5" s="10"/>
      <c r="J5" s="10"/>
    </row>
    <row r="6" spans="1:10" ht="35.1" customHeight="1" x14ac:dyDescent="0.2">
      <c r="A6" s="48" t="s">
        <v>7</v>
      </c>
      <c r="B6" s="48" t="s">
        <v>70</v>
      </c>
      <c r="C6" s="48"/>
      <c r="D6" s="48" t="s">
        <v>71</v>
      </c>
      <c r="E6" s="34"/>
      <c r="F6" s="34"/>
      <c r="G6" s="32"/>
      <c r="H6" s="10"/>
    </row>
    <row r="7" spans="1:10" ht="35.1" customHeight="1" x14ac:dyDescent="0.3">
      <c r="A7" s="58" t="s">
        <v>72</v>
      </c>
      <c r="B7" s="58" t="s">
        <v>73</v>
      </c>
      <c r="C7" s="58"/>
      <c r="D7" s="58" t="s">
        <v>74</v>
      </c>
      <c r="E7" s="35"/>
      <c r="F7" s="36"/>
      <c r="G7" s="32"/>
      <c r="H7" s="10"/>
    </row>
    <row r="8" spans="1:10" ht="35.1" customHeight="1" x14ac:dyDescent="0.3">
      <c r="A8" s="58" t="s">
        <v>75</v>
      </c>
      <c r="B8" s="58" t="s">
        <v>73</v>
      </c>
      <c r="C8" s="58"/>
      <c r="D8" s="58" t="s">
        <v>76</v>
      </c>
      <c r="E8" s="37"/>
      <c r="F8" s="36"/>
      <c r="G8" s="32"/>
      <c r="H8" s="10"/>
    </row>
    <row r="9" spans="1:10" ht="35.1" customHeight="1" x14ac:dyDescent="0.3">
      <c r="A9" s="58" t="s">
        <v>77</v>
      </c>
      <c r="B9" s="58" t="s">
        <v>73</v>
      </c>
      <c r="C9" s="58"/>
      <c r="D9" s="58" t="s">
        <v>78</v>
      </c>
      <c r="E9" s="37"/>
      <c r="F9" s="36"/>
      <c r="G9" s="32"/>
      <c r="H9" s="10"/>
    </row>
    <row r="10" spans="1:10" ht="35.1" customHeight="1" x14ac:dyDescent="0.3">
      <c r="A10" s="58" t="s">
        <v>79</v>
      </c>
      <c r="B10" s="58" t="s">
        <v>73</v>
      </c>
      <c r="C10" s="58"/>
      <c r="D10" s="58" t="s">
        <v>80</v>
      </c>
      <c r="E10" s="37"/>
      <c r="F10" s="36"/>
      <c r="G10" s="32"/>
      <c r="H10" s="10"/>
    </row>
    <row r="11" spans="1:10" ht="35.1" customHeight="1" x14ac:dyDescent="0.3">
      <c r="A11" s="58" t="s">
        <v>81</v>
      </c>
      <c r="B11" s="58" t="s">
        <v>73</v>
      </c>
      <c r="C11" s="58"/>
      <c r="D11" s="58" t="s">
        <v>82</v>
      </c>
      <c r="E11" s="37"/>
      <c r="F11" s="36"/>
      <c r="G11" s="32"/>
      <c r="H11" s="10"/>
    </row>
    <row r="12" spans="1:10" ht="35.1" customHeight="1" x14ac:dyDescent="0.3">
      <c r="A12" s="58" t="s">
        <v>83</v>
      </c>
      <c r="B12" s="58" t="s">
        <v>73</v>
      </c>
      <c r="C12" s="58"/>
      <c r="D12" s="58" t="s">
        <v>84</v>
      </c>
      <c r="E12" s="37"/>
      <c r="F12" s="36"/>
      <c r="G12" s="32"/>
      <c r="H12" s="10"/>
    </row>
    <row r="13" spans="1:10" ht="35.1" customHeight="1" x14ac:dyDescent="0.3">
      <c r="A13" s="58"/>
      <c r="B13" s="58"/>
      <c r="C13" s="58"/>
      <c r="D13" s="58"/>
      <c r="E13" s="37"/>
      <c r="F13" s="36"/>
      <c r="G13" s="32"/>
      <c r="H13" s="10"/>
    </row>
    <row r="14" spans="1:10" ht="35.1" customHeight="1" x14ac:dyDescent="0.3">
      <c r="A14" s="58" t="s">
        <v>85</v>
      </c>
      <c r="B14" s="58" t="s">
        <v>73</v>
      </c>
      <c r="C14" s="58"/>
      <c r="D14" s="58" t="s">
        <v>86</v>
      </c>
      <c r="E14" s="37"/>
      <c r="F14" s="36"/>
      <c r="G14" s="32"/>
      <c r="H14" s="10"/>
    </row>
    <row r="15" spans="1:10" ht="35.1" customHeight="1" x14ac:dyDescent="0.3">
      <c r="A15" s="58" t="s">
        <v>87</v>
      </c>
      <c r="B15" s="58" t="s">
        <v>73</v>
      </c>
      <c r="C15" s="58"/>
      <c r="D15" s="58" t="s">
        <v>88</v>
      </c>
      <c r="E15" s="37"/>
      <c r="F15" s="36"/>
      <c r="G15" s="32"/>
      <c r="H15" s="10"/>
    </row>
    <row r="16" spans="1:10" ht="35.1" customHeight="1" x14ac:dyDescent="0.3">
      <c r="A16" s="58" t="s">
        <v>89</v>
      </c>
      <c r="B16" s="58" t="s">
        <v>73</v>
      </c>
      <c r="C16" s="58" t="s">
        <v>90</v>
      </c>
      <c r="D16" s="58" t="s">
        <v>91</v>
      </c>
      <c r="E16" s="37"/>
      <c r="F16" s="36"/>
      <c r="G16" s="32"/>
      <c r="H16" s="10"/>
    </row>
    <row r="17" spans="1:10" ht="35.1" customHeight="1" x14ac:dyDescent="0.3">
      <c r="A17" s="58" t="s">
        <v>92</v>
      </c>
      <c r="B17" s="58" t="s">
        <v>73</v>
      </c>
      <c r="C17" s="58"/>
      <c r="D17" s="58" t="s">
        <v>93</v>
      </c>
      <c r="E17" s="37"/>
      <c r="F17" s="36"/>
      <c r="G17" s="32"/>
      <c r="H17" s="10"/>
    </row>
    <row r="18" spans="1:10" ht="35.1" customHeight="1" thickBot="1" x14ac:dyDescent="0.35">
      <c r="A18" s="58" t="s">
        <v>94</v>
      </c>
      <c r="B18" s="58" t="s">
        <v>73</v>
      </c>
      <c r="C18" s="58"/>
      <c r="D18" s="58" t="s">
        <v>95</v>
      </c>
      <c r="E18" s="37"/>
      <c r="F18" s="36"/>
      <c r="G18" s="33"/>
      <c r="H18" s="10"/>
    </row>
    <row r="19" spans="1:10" ht="17.45" customHeight="1" thickTop="1" thickBot="1" x14ac:dyDescent="0.4">
      <c r="A19" s="154"/>
      <c r="B19" s="154"/>
      <c r="C19" s="154"/>
      <c r="D19" s="154"/>
      <c r="E19" s="154"/>
      <c r="F19" s="154"/>
      <c r="G19" s="29"/>
      <c r="H19" s="30"/>
      <c r="I19" s="32"/>
      <c r="J19" s="10"/>
    </row>
    <row r="20" spans="1:10" ht="86.1" customHeight="1" thickTop="1" thickBot="1" x14ac:dyDescent="0.25">
      <c r="A20" s="44" t="s">
        <v>6</v>
      </c>
      <c r="B20" s="44" t="s">
        <v>8</v>
      </c>
      <c r="C20" s="45" t="s">
        <v>12</v>
      </c>
      <c r="D20" s="44" t="s">
        <v>9</v>
      </c>
      <c r="E20" s="44" t="s">
        <v>314</v>
      </c>
    </row>
    <row r="21" spans="1:10" ht="60" customHeight="1" thickTop="1" thickBot="1" x14ac:dyDescent="0.25">
      <c r="A21" s="64"/>
      <c r="B21" s="83"/>
      <c r="C21" s="83"/>
      <c r="D21" s="83"/>
      <c r="E21" s="83"/>
    </row>
    <row r="22" spans="1:10" ht="60" customHeight="1" thickTop="1" thickBot="1" x14ac:dyDescent="0.3">
      <c r="A22" s="79"/>
      <c r="B22" s="81"/>
      <c r="C22" s="75"/>
      <c r="D22" s="75"/>
      <c r="E22" s="77"/>
    </row>
    <row r="23" spans="1:10" ht="60" customHeight="1" thickTop="1" thickBot="1" x14ac:dyDescent="0.3">
      <c r="A23" s="80"/>
      <c r="B23" s="82"/>
      <c r="C23" s="76"/>
      <c r="D23" s="76"/>
      <c r="E23" s="78"/>
    </row>
    <row r="24" spans="1:10" ht="14.45" customHeight="1" thickTop="1" x14ac:dyDescent="0.2"/>
    <row r="25" spans="1:10" ht="14.1" customHeight="1" x14ac:dyDescent="0.2"/>
    <row r="26" spans="1:10" ht="14.1" customHeight="1" x14ac:dyDescent="0.2"/>
    <row r="27" spans="1:10" ht="14.45" customHeight="1" x14ac:dyDescent="0.2"/>
  </sheetData>
  <sheetProtection algorithmName="SHA-512" hashValue="aLFdOS/WKYNEdiQjUF9P7t5E1OO61+CO0BnnUfCAR9weEIg1jwP8Ec20DAs7SG4kT9YnBg4dS5peiqZmqrPqDA==" saltValue="O5BRgkiGON+yGL8trqEP8Q==" spinCount="100000" sheet="1" formatCells="0" formatColumns="0" formatRows="0" insertColumns="0" insertRows="0" insertHyperlinks="0" deleteColumns="0" deleteRows="0" sort="0" autoFilter="0" pivotTables="0"/>
  <mergeCells count="3">
    <mergeCell ref="A1:B3"/>
    <mergeCell ref="A4:F5"/>
    <mergeCell ref="A19:F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1</xdr:col>
                <xdr:colOff>3467100</xdr:colOff>
                <xdr:row>0</xdr:row>
                <xdr:rowOff>0</xdr:rowOff>
              </from>
              <to>
                <xdr:col>5</xdr:col>
                <xdr:colOff>885825</xdr:colOff>
                <xdr:row>3</xdr:row>
                <xdr:rowOff>9525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F164-7A74-452D-A4B2-45FDCA40545B}">
  <sheetPr codeName="Sheet5"/>
  <dimension ref="A1:G42"/>
  <sheetViews>
    <sheetView rightToLeft="1" zoomScale="70" zoomScaleNormal="70" workbookViewId="0">
      <selection activeCell="E47" sqref="E47"/>
    </sheetView>
  </sheetViews>
  <sheetFormatPr defaultRowHeight="14.25" x14ac:dyDescent="0.2"/>
  <cols>
    <col min="1" max="1" width="71" customWidth="1"/>
    <col min="2" max="2" width="45.625" customWidth="1"/>
    <col min="3" max="3" width="20.625" customWidth="1"/>
    <col min="4" max="4" width="22.75" bestFit="1" customWidth="1"/>
    <col min="5" max="5" width="37.25" bestFit="1" customWidth="1"/>
    <col min="6" max="6" width="19.375" customWidth="1"/>
    <col min="7" max="7" width="18.875" bestFit="1" customWidth="1"/>
    <col min="8" max="8" width="16.375" bestFit="1" customWidth="1"/>
    <col min="9" max="9" width="12.125" bestFit="1" customWidth="1"/>
  </cols>
  <sheetData>
    <row r="1" spans="1:7" ht="24.95" customHeight="1" x14ac:dyDescent="0.2">
      <c r="A1" s="159" t="s">
        <v>1</v>
      </c>
      <c r="B1" s="159"/>
      <c r="C1" s="52"/>
      <c r="D1" s="12"/>
      <c r="E1" s="12"/>
      <c r="F1" s="12"/>
      <c r="G1" s="12"/>
    </row>
    <row r="2" spans="1:7" ht="24.95" customHeight="1" x14ac:dyDescent="0.2">
      <c r="A2" s="159"/>
      <c r="B2" s="159"/>
      <c r="C2" s="52"/>
      <c r="D2" s="12"/>
      <c r="E2" s="12"/>
      <c r="F2" s="12"/>
      <c r="G2" s="12"/>
    </row>
    <row r="3" spans="1:7" ht="24.95" customHeight="1" x14ac:dyDescent="0.2">
      <c r="A3" s="159"/>
      <c r="B3" s="159"/>
      <c r="C3" s="52"/>
      <c r="D3" s="12"/>
      <c r="E3" s="12"/>
      <c r="F3" s="12"/>
      <c r="G3" s="12"/>
    </row>
    <row r="4" spans="1:7" ht="24.95" customHeight="1" x14ac:dyDescent="0.2">
      <c r="A4" s="153" t="s">
        <v>160</v>
      </c>
      <c r="B4" s="153"/>
      <c r="C4" s="153"/>
      <c r="D4" s="153"/>
      <c r="E4" s="153"/>
      <c r="F4" s="153"/>
      <c r="G4" s="12"/>
    </row>
    <row r="5" spans="1:7" ht="24.95" customHeight="1" x14ac:dyDescent="0.2">
      <c r="A5" s="153"/>
      <c r="B5" s="153"/>
      <c r="C5" s="153"/>
      <c r="D5" s="153"/>
      <c r="E5" s="153"/>
      <c r="F5" s="153"/>
      <c r="G5" s="12"/>
    </row>
    <row r="6" spans="1:7" s="54" customFormat="1" ht="35.1" customHeight="1" x14ac:dyDescent="0.2">
      <c r="A6" s="50" t="s">
        <v>96</v>
      </c>
      <c r="B6" s="50" t="s">
        <v>97</v>
      </c>
      <c r="C6" s="50" t="s">
        <v>8</v>
      </c>
      <c r="D6" s="50" t="s">
        <v>71</v>
      </c>
      <c r="E6" s="10"/>
    </row>
    <row r="7" spans="1:7" ht="35.1" customHeight="1" x14ac:dyDescent="0.2">
      <c r="A7" s="58" t="s">
        <v>98</v>
      </c>
      <c r="B7" s="58" t="s">
        <v>99</v>
      </c>
      <c r="C7" s="58"/>
      <c r="D7" s="58" t="s">
        <v>82</v>
      </c>
      <c r="E7" s="12"/>
    </row>
    <row r="8" spans="1:7" ht="35.1" customHeight="1" x14ac:dyDescent="0.2">
      <c r="A8" s="58" t="s">
        <v>100</v>
      </c>
      <c r="B8" s="58" t="s">
        <v>99</v>
      </c>
      <c r="C8" s="58"/>
      <c r="D8" s="58" t="s">
        <v>101</v>
      </c>
      <c r="E8" s="12"/>
    </row>
    <row r="9" spans="1:7" ht="35.1" customHeight="1" x14ac:dyDescent="0.2">
      <c r="A9" s="58" t="s">
        <v>102</v>
      </c>
      <c r="B9" s="58" t="s">
        <v>99</v>
      </c>
      <c r="C9" s="58"/>
      <c r="D9" s="58" t="s">
        <v>103</v>
      </c>
      <c r="E9" s="12"/>
    </row>
    <row r="10" spans="1:7" ht="35.1" customHeight="1" x14ac:dyDescent="0.2">
      <c r="A10" s="58" t="s">
        <v>104</v>
      </c>
      <c r="B10" s="58" t="s">
        <v>99</v>
      </c>
      <c r="C10" s="58"/>
      <c r="D10" s="58" t="s">
        <v>105</v>
      </c>
      <c r="E10" s="12"/>
    </row>
    <row r="11" spans="1:7" ht="35.1" customHeight="1" x14ac:dyDescent="0.2">
      <c r="A11" s="58" t="s">
        <v>106</v>
      </c>
      <c r="B11" s="58" t="s">
        <v>99</v>
      </c>
      <c r="C11" s="58"/>
      <c r="D11" s="58" t="s">
        <v>86</v>
      </c>
      <c r="E11" s="12"/>
    </row>
    <row r="12" spans="1:7" ht="35.1" customHeight="1" x14ac:dyDescent="0.2">
      <c r="A12" s="58" t="s">
        <v>107</v>
      </c>
      <c r="B12" s="58" t="s">
        <v>99</v>
      </c>
      <c r="C12" s="58"/>
      <c r="D12" s="58" t="s">
        <v>108</v>
      </c>
      <c r="E12" s="12"/>
    </row>
    <row r="13" spans="1:7" ht="35.1" customHeight="1" x14ac:dyDescent="0.2">
      <c r="A13" s="58" t="s">
        <v>109</v>
      </c>
      <c r="B13" s="58" t="s">
        <v>99</v>
      </c>
      <c r="C13" s="58"/>
      <c r="D13" s="58" t="s">
        <v>108</v>
      </c>
      <c r="E13" s="12"/>
    </row>
    <row r="14" spans="1:7" ht="35.1" customHeight="1" x14ac:dyDescent="0.2">
      <c r="A14" s="58" t="s">
        <v>110</v>
      </c>
      <c r="B14" s="58" t="s">
        <v>99</v>
      </c>
      <c r="C14" s="58"/>
      <c r="D14" s="58" t="s">
        <v>65</v>
      </c>
      <c r="E14" s="12"/>
    </row>
    <row r="15" spans="1:7" ht="35.1" customHeight="1" x14ac:dyDescent="0.2">
      <c r="A15" s="58" t="s">
        <v>111</v>
      </c>
      <c r="B15" s="58" t="s">
        <v>99</v>
      </c>
      <c r="C15" s="58"/>
      <c r="D15" s="58" t="s">
        <v>65</v>
      </c>
      <c r="E15" s="12"/>
    </row>
    <row r="16" spans="1:7" ht="35.1" customHeight="1" x14ac:dyDescent="0.2">
      <c r="A16" s="58" t="s">
        <v>112</v>
      </c>
      <c r="B16" s="58" t="s">
        <v>99</v>
      </c>
      <c r="C16" s="58"/>
      <c r="D16" s="58" t="s">
        <v>113</v>
      </c>
      <c r="E16" s="12"/>
    </row>
    <row r="17" spans="1:7" ht="35.1" customHeight="1" x14ac:dyDescent="0.2">
      <c r="A17" s="58" t="s">
        <v>114</v>
      </c>
      <c r="B17" s="58" t="s">
        <v>99</v>
      </c>
      <c r="C17" s="58"/>
      <c r="D17" s="58" t="s">
        <v>115</v>
      </c>
      <c r="E17" s="12"/>
    </row>
    <row r="18" spans="1:7" ht="35.1" customHeight="1" x14ac:dyDescent="0.2">
      <c r="A18" s="58" t="s">
        <v>67</v>
      </c>
      <c r="B18" s="58" t="s">
        <v>99</v>
      </c>
      <c r="C18" s="58"/>
      <c r="D18" s="58" t="s">
        <v>116</v>
      </c>
      <c r="E18" s="12"/>
    </row>
    <row r="19" spans="1:7" ht="35.1" customHeight="1" x14ac:dyDescent="0.2">
      <c r="A19" s="58" t="s">
        <v>69</v>
      </c>
      <c r="B19" s="58" t="s">
        <v>99</v>
      </c>
      <c r="C19" s="58"/>
      <c r="D19" s="58" t="s">
        <v>117</v>
      </c>
      <c r="E19" s="12"/>
    </row>
    <row r="20" spans="1:7" ht="35.1" customHeight="1" x14ac:dyDescent="0.2">
      <c r="A20" s="58" t="s">
        <v>118</v>
      </c>
      <c r="B20" s="58" t="s">
        <v>99</v>
      </c>
      <c r="C20" s="58" t="s">
        <v>90</v>
      </c>
      <c r="D20" s="58" t="s">
        <v>119</v>
      </c>
      <c r="E20" s="12"/>
    </row>
    <row r="21" spans="1:7" ht="14.45" customHeight="1" thickBot="1" x14ac:dyDescent="0.25">
      <c r="A21" s="158"/>
      <c r="B21" s="158"/>
      <c r="C21" s="158"/>
      <c r="D21" s="158"/>
      <c r="E21" s="158"/>
      <c r="F21" s="158"/>
      <c r="G21" s="12"/>
    </row>
    <row r="22" spans="1:7" ht="50.45" customHeight="1" thickTop="1" thickBot="1" x14ac:dyDescent="0.25">
      <c r="A22" s="46" t="s">
        <v>6</v>
      </c>
      <c r="B22" s="26" t="s">
        <v>8</v>
      </c>
      <c r="C22" s="27" t="s">
        <v>12</v>
      </c>
      <c r="D22" s="26" t="s">
        <v>9</v>
      </c>
      <c r="E22" s="26" t="s">
        <v>10</v>
      </c>
    </row>
    <row r="23" spans="1:7" ht="60" customHeight="1" thickTop="1" thickBot="1" x14ac:dyDescent="0.25">
      <c r="A23" s="65" t="s">
        <v>14</v>
      </c>
      <c r="B23" s="93" t="s">
        <v>27</v>
      </c>
      <c r="C23" s="94">
        <v>10000</v>
      </c>
      <c r="D23" s="95" t="s">
        <v>33</v>
      </c>
      <c r="E23" s="96" t="s">
        <v>341</v>
      </c>
    </row>
    <row r="24" spans="1:7" ht="60" customHeight="1" thickTop="1" thickBot="1" x14ac:dyDescent="0.25">
      <c r="A24" s="65" t="s">
        <v>28</v>
      </c>
      <c r="B24" s="93" t="s">
        <v>29</v>
      </c>
      <c r="C24" s="94">
        <v>26000</v>
      </c>
      <c r="D24" s="95" t="s">
        <v>33</v>
      </c>
      <c r="E24" s="96" t="s">
        <v>107</v>
      </c>
    </row>
    <row r="25" spans="1:7" ht="60" customHeight="1" thickTop="1" thickBot="1" x14ac:dyDescent="0.25">
      <c r="A25" s="65" t="s">
        <v>31</v>
      </c>
      <c r="B25" s="93" t="s">
        <v>32</v>
      </c>
      <c r="C25" s="94">
        <v>500</v>
      </c>
      <c r="D25" s="95" t="s">
        <v>33</v>
      </c>
      <c r="E25" s="96" t="s">
        <v>320</v>
      </c>
    </row>
    <row r="26" spans="1:7" ht="60" customHeight="1" thickTop="1" thickBot="1" x14ac:dyDescent="0.25">
      <c r="A26" s="65" t="s">
        <v>168</v>
      </c>
      <c r="B26" s="93" t="s">
        <v>345</v>
      </c>
      <c r="C26" s="94">
        <v>30000</v>
      </c>
      <c r="D26" s="95" t="s">
        <v>33</v>
      </c>
      <c r="E26" s="96" t="s">
        <v>465</v>
      </c>
    </row>
    <row r="27" spans="1:7" ht="60" customHeight="1" thickTop="1" thickBot="1" x14ac:dyDescent="0.25">
      <c r="A27" s="65" t="s">
        <v>169</v>
      </c>
      <c r="B27" s="93" t="s">
        <v>322</v>
      </c>
      <c r="C27" s="94">
        <v>2000</v>
      </c>
      <c r="D27" s="95" t="s">
        <v>33</v>
      </c>
      <c r="E27" s="96" t="s">
        <v>342</v>
      </c>
    </row>
    <row r="28" spans="1:7" ht="60" customHeight="1" thickTop="1" thickBot="1" x14ac:dyDescent="0.25">
      <c r="A28" s="65" t="s">
        <v>170</v>
      </c>
      <c r="B28" s="93" t="s">
        <v>165</v>
      </c>
      <c r="C28" s="94">
        <v>2000</v>
      </c>
      <c r="D28" s="95" t="s">
        <v>33</v>
      </c>
      <c r="E28" s="96" t="s">
        <v>324</v>
      </c>
    </row>
    <row r="29" spans="1:7" ht="60" customHeight="1" thickTop="1" thickBot="1" x14ac:dyDescent="0.25">
      <c r="A29" s="65" t="s">
        <v>171</v>
      </c>
      <c r="B29" s="93" t="s">
        <v>166</v>
      </c>
      <c r="C29" s="94">
        <v>2000</v>
      </c>
      <c r="D29" s="95" t="s">
        <v>33</v>
      </c>
      <c r="E29" s="96" t="s">
        <v>321</v>
      </c>
    </row>
    <row r="30" spans="1:7" ht="60" customHeight="1" thickTop="1" thickBot="1" x14ac:dyDescent="0.25">
      <c r="A30" s="65" t="s">
        <v>172</v>
      </c>
      <c r="B30" s="93" t="s">
        <v>167</v>
      </c>
      <c r="C30" s="94">
        <v>5000</v>
      </c>
      <c r="D30" s="95" t="s">
        <v>33</v>
      </c>
      <c r="E30" s="96" t="s">
        <v>323</v>
      </c>
    </row>
    <row r="31" spans="1:7" ht="60" customHeight="1" thickTop="1" thickBot="1" x14ac:dyDescent="0.25">
      <c r="A31" s="65" t="s">
        <v>177</v>
      </c>
      <c r="B31" s="93" t="s">
        <v>176</v>
      </c>
      <c r="C31" s="94">
        <v>500</v>
      </c>
      <c r="D31" s="95" t="s">
        <v>33</v>
      </c>
      <c r="E31" s="96" t="s">
        <v>325</v>
      </c>
    </row>
    <row r="32" spans="1:7" ht="60" customHeight="1" thickTop="1" thickBot="1" x14ac:dyDescent="0.25">
      <c r="A32" s="65" t="s">
        <v>367</v>
      </c>
      <c r="B32" s="93" t="s">
        <v>368</v>
      </c>
      <c r="C32" s="94">
        <v>2000</v>
      </c>
      <c r="D32" s="95" t="s">
        <v>33</v>
      </c>
      <c r="E32" s="96" t="s">
        <v>369</v>
      </c>
    </row>
    <row r="33" spans="1:7" ht="60" customHeight="1" thickTop="1" thickBot="1" x14ac:dyDescent="0.25">
      <c r="A33" s="65" t="s">
        <v>310</v>
      </c>
      <c r="B33" s="102" t="s">
        <v>343</v>
      </c>
      <c r="C33" s="94">
        <v>2500</v>
      </c>
      <c r="D33" s="95" t="s">
        <v>33</v>
      </c>
      <c r="E33" s="96" t="s">
        <v>344</v>
      </c>
    </row>
    <row r="34" spans="1:7" ht="60" customHeight="1" thickTop="1" x14ac:dyDescent="0.2">
      <c r="A34" s="84"/>
      <c r="B34" s="85"/>
      <c r="C34" s="85"/>
      <c r="D34" s="85"/>
      <c r="E34" s="110"/>
      <c r="F34" s="86"/>
    </row>
    <row r="35" spans="1:7" ht="24.95" customHeight="1" x14ac:dyDescent="0.2">
      <c r="A35" s="87"/>
      <c r="B35" s="88"/>
      <c r="C35" s="88"/>
      <c r="D35" s="88"/>
      <c r="E35" s="88"/>
      <c r="F35" s="89"/>
    </row>
    <row r="36" spans="1:7" ht="24.95" customHeight="1" x14ac:dyDescent="0.2">
      <c r="A36" s="87"/>
      <c r="B36" s="88"/>
      <c r="C36" s="88"/>
      <c r="D36" s="88"/>
      <c r="E36" s="88"/>
      <c r="F36" s="89"/>
    </row>
    <row r="37" spans="1:7" ht="24.95" customHeight="1" thickBot="1" x14ac:dyDescent="0.25">
      <c r="A37" s="90"/>
      <c r="B37" s="91"/>
      <c r="C37" s="91"/>
      <c r="D37" s="91"/>
      <c r="E37" s="91"/>
      <c r="F37" s="92"/>
    </row>
    <row r="38" spans="1:7" ht="15" thickTop="1" x14ac:dyDescent="0.2">
      <c r="D38" s="1"/>
      <c r="E38" s="1"/>
      <c r="F38" s="1"/>
      <c r="G38" s="155"/>
    </row>
    <row r="39" spans="1:7" x14ac:dyDescent="0.2">
      <c r="D39" s="1"/>
      <c r="E39" s="156"/>
      <c r="F39" s="157"/>
      <c r="G39" s="155"/>
    </row>
    <row r="40" spans="1:7" x14ac:dyDescent="0.2">
      <c r="D40" s="1"/>
      <c r="E40" s="157"/>
      <c r="F40" s="157"/>
      <c r="G40" s="155"/>
    </row>
    <row r="41" spans="1:7" x14ac:dyDescent="0.2">
      <c r="D41" s="1"/>
      <c r="E41" s="1"/>
      <c r="F41" s="1"/>
      <c r="G41" s="155"/>
    </row>
    <row r="42" spans="1:7" x14ac:dyDescent="0.2">
      <c r="D42" s="1"/>
      <c r="E42" s="1"/>
      <c r="F42" s="1"/>
    </row>
  </sheetData>
  <sheetProtection algorithmName="SHA-512" hashValue="EgWh8PxDBehWF78e68TKNxVk1UJijsA1/3nUOboCFRdlQ+AwatQY2MgcZwsRvy99JZKqVf/T/Q8pAfS29/PjPQ==" saltValue="aWbJS3KfhNEZjK1V/KaPlw==" spinCount="100000" sheet="1" formatCells="0" formatColumns="0" formatRows="0" insertColumns="0" insertRows="0" insertHyperlinks="0" deleteColumns="0" deleteRows="0" sort="0" autoFilter="0" pivotTables="0"/>
  <mergeCells count="5">
    <mergeCell ref="G38:G41"/>
    <mergeCell ref="E39:F40"/>
    <mergeCell ref="A21:F21"/>
    <mergeCell ref="A1:B3"/>
    <mergeCell ref="A4:F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2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5</xdr:col>
                <xdr:colOff>161925</xdr:colOff>
                <xdr:row>3</xdr:row>
                <xdr:rowOff>19050</xdr:rowOff>
              </to>
            </anchor>
          </controlPr>
        </control>
      </mc:Choice>
      <mc:Fallback>
        <control shapeId="9219" r:id="rId3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DF39-4057-459D-B798-41CBE57E1E21}">
  <sheetPr codeName="Sheet6"/>
  <dimension ref="A1:I37"/>
  <sheetViews>
    <sheetView rightToLeft="1" topLeftCell="A28" zoomScale="70" zoomScaleNormal="70" workbookViewId="0">
      <selection activeCell="G31" sqref="G31"/>
    </sheetView>
  </sheetViews>
  <sheetFormatPr defaultRowHeight="14.25" x14ac:dyDescent="0.2"/>
  <cols>
    <col min="1" max="1" width="70.75" customWidth="1"/>
    <col min="2" max="2" width="45.375" customWidth="1"/>
    <col min="3" max="3" width="21.25" customWidth="1"/>
    <col min="4" max="4" width="22.75" bestFit="1" customWidth="1"/>
    <col min="5" max="5" width="29.375" bestFit="1" customWidth="1"/>
    <col min="6" max="6" width="21.125" customWidth="1"/>
    <col min="7" max="7" width="18.5" customWidth="1"/>
    <col min="8" max="8" width="10.75" customWidth="1"/>
    <col min="9" max="9" width="13.5" customWidth="1"/>
  </cols>
  <sheetData>
    <row r="1" spans="1:8" ht="24.95" customHeight="1" x14ac:dyDescent="0.2">
      <c r="A1" s="162" t="s">
        <v>3</v>
      </c>
      <c r="B1" s="162"/>
      <c r="C1" s="52"/>
      <c r="D1" s="12"/>
      <c r="E1" s="12"/>
      <c r="F1" s="12"/>
      <c r="G1" s="12"/>
      <c r="H1" s="12"/>
    </row>
    <row r="2" spans="1:8" ht="24.95" customHeight="1" x14ac:dyDescent="0.2">
      <c r="A2" s="162"/>
      <c r="B2" s="162"/>
      <c r="C2" s="52"/>
      <c r="D2" s="12"/>
      <c r="E2" s="12"/>
      <c r="F2" s="12"/>
      <c r="G2" s="12"/>
      <c r="H2" s="12"/>
    </row>
    <row r="3" spans="1:8" ht="24.95" customHeight="1" x14ac:dyDescent="0.2">
      <c r="A3" s="162"/>
      <c r="B3" s="162"/>
      <c r="C3" s="52"/>
      <c r="D3" s="12"/>
      <c r="E3" s="12"/>
      <c r="F3" s="12"/>
      <c r="G3" s="12"/>
      <c r="H3" s="12"/>
    </row>
    <row r="4" spans="1:8" ht="24.95" customHeight="1" x14ac:dyDescent="0.2">
      <c r="A4" s="153" t="s">
        <v>161</v>
      </c>
      <c r="B4" s="160"/>
      <c r="C4" s="160"/>
      <c r="D4" s="160"/>
      <c r="E4" s="160"/>
      <c r="F4" s="160"/>
      <c r="G4" s="12"/>
      <c r="H4" s="12"/>
    </row>
    <row r="5" spans="1:8" ht="24.95" customHeight="1" x14ac:dyDescent="0.2">
      <c r="A5" s="161"/>
      <c r="B5" s="161"/>
      <c r="C5" s="161"/>
      <c r="D5" s="161"/>
      <c r="E5" s="161"/>
      <c r="F5" s="161"/>
      <c r="G5" s="12"/>
      <c r="H5" s="12"/>
    </row>
    <row r="6" spans="1:8" ht="35.1" customHeight="1" x14ac:dyDescent="0.2">
      <c r="A6" s="49" t="s">
        <v>96</v>
      </c>
      <c r="B6" s="49" t="s">
        <v>97</v>
      </c>
      <c r="C6" s="49"/>
      <c r="D6" s="49" t="s">
        <v>71</v>
      </c>
      <c r="E6" s="12"/>
      <c r="F6" s="12"/>
    </row>
    <row r="7" spans="1:8" ht="35.1" customHeight="1" x14ac:dyDescent="0.3">
      <c r="A7" s="57" t="s">
        <v>120</v>
      </c>
      <c r="B7" s="58" t="s">
        <v>121</v>
      </c>
      <c r="C7" s="59"/>
      <c r="D7" s="58" t="s">
        <v>122</v>
      </c>
      <c r="E7" s="12"/>
      <c r="F7" s="12"/>
    </row>
    <row r="8" spans="1:8" ht="35.1" customHeight="1" x14ac:dyDescent="0.3">
      <c r="A8" s="57" t="s">
        <v>123</v>
      </c>
      <c r="B8" s="58" t="s">
        <v>121</v>
      </c>
      <c r="C8" s="59"/>
      <c r="D8" s="58" t="s">
        <v>124</v>
      </c>
      <c r="E8" s="12"/>
      <c r="F8" s="12"/>
    </row>
    <row r="9" spans="1:8" ht="35.1" customHeight="1" x14ac:dyDescent="0.3">
      <c r="A9" s="57" t="s">
        <v>125</v>
      </c>
      <c r="B9" s="58" t="s">
        <v>121</v>
      </c>
      <c r="C9" s="59"/>
      <c r="D9" s="58" t="s">
        <v>105</v>
      </c>
      <c r="E9" s="12"/>
      <c r="F9" s="12"/>
    </row>
    <row r="10" spans="1:8" ht="35.1" customHeight="1" x14ac:dyDescent="0.3">
      <c r="A10" s="57" t="s">
        <v>126</v>
      </c>
      <c r="B10" s="58" t="s">
        <v>121</v>
      </c>
      <c r="C10" s="59"/>
      <c r="D10" s="58" t="s">
        <v>127</v>
      </c>
      <c r="E10" s="12"/>
      <c r="F10" s="12"/>
    </row>
    <row r="11" spans="1:8" ht="35.1" customHeight="1" x14ac:dyDescent="0.3">
      <c r="A11" s="57" t="s">
        <v>126</v>
      </c>
      <c r="B11" s="58" t="s">
        <v>121</v>
      </c>
      <c r="C11" s="59"/>
      <c r="D11" s="58" t="s">
        <v>127</v>
      </c>
      <c r="E11" s="12"/>
      <c r="F11" s="12"/>
    </row>
    <row r="12" spans="1:8" ht="35.1" customHeight="1" x14ac:dyDescent="0.3">
      <c r="A12" s="57" t="s">
        <v>128</v>
      </c>
      <c r="B12" s="58" t="s">
        <v>121</v>
      </c>
      <c r="C12" s="59"/>
      <c r="D12" s="58" t="s">
        <v>65</v>
      </c>
      <c r="E12" s="12"/>
      <c r="F12" s="12"/>
    </row>
    <row r="13" spans="1:8" ht="35.1" customHeight="1" x14ac:dyDescent="0.3">
      <c r="A13" s="57" t="s">
        <v>129</v>
      </c>
      <c r="B13" s="58" t="s">
        <v>121</v>
      </c>
      <c r="C13" s="59"/>
      <c r="D13" s="58" t="s">
        <v>65</v>
      </c>
      <c r="E13" s="12"/>
      <c r="F13" s="12"/>
    </row>
    <row r="14" spans="1:8" ht="35.1" customHeight="1" x14ac:dyDescent="0.3">
      <c r="A14" s="57" t="s">
        <v>130</v>
      </c>
      <c r="B14" s="58" t="s">
        <v>121</v>
      </c>
      <c r="C14" s="59"/>
      <c r="D14" s="58" t="s">
        <v>65</v>
      </c>
      <c r="E14" s="12"/>
      <c r="F14" s="12"/>
    </row>
    <row r="15" spans="1:8" ht="35.1" customHeight="1" x14ac:dyDescent="0.3">
      <c r="A15" s="57" t="s">
        <v>131</v>
      </c>
      <c r="B15" s="58" t="s">
        <v>121</v>
      </c>
      <c r="C15" s="59"/>
      <c r="D15" s="58" t="s">
        <v>65</v>
      </c>
      <c r="E15" s="12"/>
      <c r="F15" s="12"/>
    </row>
    <row r="16" spans="1:8" ht="35.1" customHeight="1" x14ac:dyDescent="0.3">
      <c r="A16" s="57" t="s">
        <v>132</v>
      </c>
      <c r="B16" s="58" t="s">
        <v>121</v>
      </c>
      <c r="C16" s="59"/>
      <c r="D16" s="58" t="s">
        <v>65</v>
      </c>
      <c r="E16" s="12"/>
      <c r="F16" s="12"/>
    </row>
    <row r="17" spans="1:9" ht="35.1" customHeight="1" x14ac:dyDescent="0.3">
      <c r="A17" s="57" t="s">
        <v>133</v>
      </c>
      <c r="B17" s="58" t="s">
        <v>121</v>
      </c>
      <c r="C17" s="59"/>
      <c r="D17" s="58" t="s">
        <v>134</v>
      </c>
      <c r="E17" s="12"/>
      <c r="F17" s="12"/>
    </row>
    <row r="18" spans="1:9" ht="35.1" customHeight="1" x14ac:dyDescent="0.3">
      <c r="A18" s="57" t="s">
        <v>135</v>
      </c>
      <c r="B18" s="58" t="s">
        <v>121</v>
      </c>
      <c r="C18" s="59"/>
      <c r="D18" s="58" t="s">
        <v>136</v>
      </c>
      <c r="E18" s="12"/>
      <c r="F18" s="12"/>
    </row>
    <row r="19" spans="1:9" ht="35.1" customHeight="1" x14ac:dyDescent="0.3">
      <c r="A19" s="57" t="s">
        <v>69</v>
      </c>
      <c r="B19" s="58" t="s">
        <v>121</v>
      </c>
      <c r="C19" s="59"/>
      <c r="D19" s="58" t="s">
        <v>137</v>
      </c>
      <c r="E19" s="12"/>
      <c r="F19" s="12"/>
    </row>
    <row r="20" spans="1:9" ht="14.45" customHeight="1" x14ac:dyDescent="0.2">
      <c r="A20" s="163"/>
      <c r="B20" s="164"/>
      <c r="C20" s="164"/>
      <c r="D20" s="164"/>
      <c r="E20" s="164"/>
      <c r="F20" s="164"/>
      <c r="G20" s="165"/>
      <c r="H20" s="165"/>
      <c r="I20" s="166"/>
    </row>
    <row r="21" spans="1:9" ht="60" customHeight="1" thickBot="1" x14ac:dyDescent="0.25">
      <c r="A21" s="20" t="s">
        <v>6</v>
      </c>
      <c r="B21" s="20" t="s">
        <v>8</v>
      </c>
      <c r="C21" s="21" t="s">
        <v>12</v>
      </c>
      <c r="D21" s="20" t="s">
        <v>9</v>
      </c>
      <c r="E21" s="20" t="s">
        <v>10</v>
      </c>
    </row>
    <row r="22" spans="1:9" ht="60" customHeight="1" thickTop="1" thickBot="1" x14ac:dyDescent="0.25">
      <c r="A22" s="62" t="s">
        <v>35</v>
      </c>
      <c r="B22" s="66" t="s">
        <v>36</v>
      </c>
      <c r="C22" s="72">
        <v>2000</v>
      </c>
      <c r="D22" s="100" t="s">
        <v>41</v>
      </c>
      <c r="E22" s="66" t="s">
        <v>36</v>
      </c>
    </row>
    <row r="23" spans="1:9" ht="60" customHeight="1" thickTop="1" thickBot="1" x14ac:dyDescent="0.25">
      <c r="A23" s="62" t="s">
        <v>38</v>
      </c>
      <c r="B23" s="66" t="s">
        <v>40</v>
      </c>
      <c r="C23" s="72">
        <f>1000+560</f>
        <v>1560</v>
      </c>
      <c r="D23" s="100" t="s">
        <v>41</v>
      </c>
      <c r="E23" s="66" t="s">
        <v>326</v>
      </c>
    </row>
    <row r="24" spans="1:9" ht="60" customHeight="1" thickTop="1" thickBot="1" x14ac:dyDescent="0.25">
      <c r="A24" s="62" t="s">
        <v>39</v>
      </c>
      <c r="B24" s="66" t="s">
        <v>40</v>
      </c>
      <c r="C24" s="72">
        <v>800</v>
      </c>
      <c r="D24" s="100" t="s">
        <v>41</v>
      </c>
      <c r="E24" s="66" t="s">
        <v>327</v>
      </c>
    </row>
    <row r="25" spans="1:9" ht="60" customHeight="1" thickTop="1" thickBot="1" x14ac:dyDescent="0.25">
      <c r="A25" s="62" t="s">
        <v>30</v>
      </c>
      <c r="B25" s="66" t="s">
        <v>40</v>
      </c>
      <c r="C25" s="72">
        <v>150</v>
      </c>
      <c r="D25" s="100" t="s">
        <v>41</v>
      </c>
      <c r="E25" s="66" t="s">
        <v>328</v>
      </c>
    </row>
    <row r="26" spans="1:9" ht="60" customHeight="1" thickTop="1" thickBot="1" x14ac:dyDescent="0.25">
      <c r="A26" s="62" t="s">
        <v>313</v>
      </c>
      <c r="B26" s="66" t="s">
        <v>349</v>
      </c>
      <c r="C26" s="72">
        <v>14000</v>
      </c>
      <c r="D26" s="100" t="s">
        <v>41</v>
      </c>
      <c r="E26" s="66" t="s">
        <v>329</v>
      </c>
    </row>
    <row r="27" spans="1:9" ht="60" customHeight="1" thickTop="1" thickBot="1" x14ac:dyDescent="0.25">
      <c r="A27" s="62" t="s">
        <v>173</v>
      </c>
      <c r="B27" s="66" t="s">
        <v>348</v>
      </c>
      <c r="C27" s="72">
        <v>8825</v>
      </c>
      <c r="D27" s="100" t="s">
        <v>41</v>
      </c>
      <c r="E27" s="66" t="s">
        <v>330</v>
      </c>
    </row>
    <row r="28" spans="1:9" ht="60" customHeight="1" thickTop="1" thickBot="1" x14ac:dyDescent="0.25">
      <c r="A28" s="62" t="s">
        <v>174</v>
      </c>
      <c r="B28" s="66" t="s">
        <v>346</v>
      </c>
      <c r="C28" s="72">
        <v>1200</v>
      </c>
      <c r="D28" s="100" t="s">
        <v>41</v>
      </c>
      <c r="E28" s="62" t="s">
        <v>347</v>
      </c>
    </row>
    <row r="29" spans="1:9" ht="60" customHeight="1" thickTop="1" thickBot="1" x14ac:dyDescent="0.25">
      <c r="A29" s="62" t="s">
        <v>175</v>
      </c>
      <c r="B29" s="66" t="s">
        <v>331</v>
      </c>
      <c r="C29" s="72">
        <v>1174.4000000000001</v>
      </c>
      <c r="D29" s="100" t="s">
        <v>41</v>
      </c>
      <c r="E29" s="66" t="s">
        <v>332</v>
      </c>
    </row>
    <row r="30" spans="1:9" ht="60" customHeight="1" thickTop="1" x14ac:dyDescent="0.2">
      <c r="E30" s="111"/>
      <c r="G30" s="97"/>
    </row>
    <row r="31" spans="1:9" ht="60" customHeight="1" x14ac:dyDescent="0.2">
      <c r="G31" s="98"/>
    </row>
    <row r="32" spans="1:9" ht="60" customHeight="1" x14ac:dyDescent="0.2">
      <c r="G32" s="98"/>
    </row>
    <row r="33" spans="7:7" ht="60" customHeight="1" thickBot="1" x14ac:dyDescent="0.25">
      <c r="G33" s="99"/>
    </row>
    <row r="34" spans="7:7" ht="60" customHeight="1" thickTop="1" x14ac:dyDescent="0.2"/>
    <row r="35" spans="7:7" ht="60" customHeight="1" x14ac:dyDescent="0.2"/>
    <row r="36" spans="7:7" ht="60" customHeight="1" x14ac:dyDescent="0.2"/>
    <row r="37" spans="7:7" ht="60" customHeight="1" x14ac:dyDescent="0.2"/>
  </sheetData>
  <sheetProtection algorithmName="SHA-512" hashValue="4W0IoxmN6PrGbOzH240pH9ZPOC+HoWRgScOWMoe+fw2J4NGIoxrYkq8qn18fSZyxSycTPYs9Xhi7keIs9sqYlA==" saltValue="HsJF5uguXXMn7bqbBHAjrA==" spinCount="100000" sheet="1" formatCells="0" formatColumns="0" formatRows="0" insertColumns="0" insertRows="0" insertHyperlinks="0" deleteColumns="0" deleteRows="0" sort="0" autoFilter="0" pivotTables="0"/>
  <mergeCells count="3">
    <mergeCell ref="A4:F5"/>
    <mergeCell ref="A1:B3"/>
    <mergeCell ref="A20:I2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1</xdr:col>
                <xdr:colOff>3457575</xdr:colOff>
                <xdr:row>0</xdr:row>
                <xdr:rowOff>0</xdr:rowOff>
              </from>
              <to>
                <xdr:col>5</xdr:col>
                <xdr:colOff>752475</xdr:colOff>
                <xdr:row>3</xdr:row>
                <xdr:rowOff>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DA9D-08C0-46D2-8B5F-A4D36104E8F7}">
  <sheetPr codeName="Sheet8"/>
  <dimension ref="A1:N16"/>
  <sheetViews>
    <sheetView rightToLeft="1" zoomScale="70" zoomScaleNormal="70" workbookViewId="0">
      <selection activeCell="C6" sqref="C6:C11"/>
    </sheetView>
  </sheetViews>
  <sheetFormatPr defaultRowHeight="14.25" x14ac:dyDescent="0.2"/>
  <cols>
    <col min="1" max="1" width="70.875" customWidth="1"/>
    <col min="2" max="2" width="45.875" customWidth="1"/>
    <col min="3" max="3" width="20.875" customWidth="1"/>
    <col min="4" max="4" width="30.875" customWidth="1"/>
    <col min="5" max="5" width="15.125" customWidth="1"/>
    <col min="6" max="6" width="15.625" customWidth="1"/>
    <col min="7" max="7" width="16.875" bestFit="1" customWidth="1"/>
    <col min="8" max="8" width="15.125" customWidth="1"/>
  </cols>
  <sheetData>
    <row r="1" spans="1:14" ht="24.95" customHeight="1" x14ac:dyDescent="0.2">
      <c r="A1" s="151" t="s">
        <v>4</v>
      </c>
      <c r="B1" s="151"/>
      <c r="C1" s="53"/>
      <c r="D1" s="12"/>
      <c r="E1" s="12"/>
      <c r="F1" s="12"/>
      <c r="G1" s="12"/>
      <c r="H1" s="1"/>
      <c r="I1" s="1"/>
      <c r="J1" s="1"/>
      <c r="K1" s="1"/>
      <c r="L1" s="1"/>
      <c r="M1" s="1"/>
      <c r="N1" s="1"/>
    </row>
    <row r="2" spans="1:14" ht="24.95" customHeight="1" x14ac:dyDescent="0.2">
      <c r="A2" s="151"/>
      <c r="B2" s="151"/>
      <c r="C2" s="53"/>
      <c r="D2" s="12"/>
      <c r="E2" s="12"/>
      <c r="F2" s="12"/>
      <c r="G2" s="12"/>
      <c r="H2" s="1"/>
      <c r="I2" s="1"/>
      <c r="J2" s="1"/>
      <c r="K2" s="1"/>
      <c r="L2" s="1"/>
      <c r="M2" s="1"/>
      <c r="N2" s="1"/>
    </row>
    <row r="3" spans="1:14" ht="24.95" customHeight="1" x14ac:dyDescent="0.2">
      <c r="A3" s="151"/>
      <c r="B3" s="151"/>
      <c r="C3" s="53"/>
      <c r="D3" s="12"/>
      <c r="E3" s="12"/>
      <c r="F3" s="12"/>
      <c r="G3" s="12"/>
      <c r="H3" s="1"/>
      <c r="I3" s="1"/>
      <c r="J3" s="1"/>
      <c r="K3" s="1"/>
      <c r="L3" s="1"/>
      <c r="M3" s="1"/>
      <c r="N3" s="1"/>
    </row>
    <row r="4" spans="1:14" ht="24.95" customHeight="1" x14ac:dyDescent="0.2">
      <c r="A4" s="153" t="s">
        <v>162</v>
      </c>
      <c r="B4" s="160"/>
      <c r="C4" s="160"/>
      <c r="D4" s="160"/>
      <c r="E4" s="160"/>
      <c r="F4" s="160"/>
      <c r="G4" s="12"/>
      <c r="H4" s="1"/>
      <c r="I4" s="1"/>
      <c r="J4" s="1"/>
      <c r="K4" s="1"/>
      <c r="L4" s="1"/>
      <c r="M4" s="1"/>
      <c r="N4" s="1"/>
    </row>
    <row r="5" spans="1:14" ht="24.95" customHeight="1" x14ac:dyDescent="0.2">
      <c r="A5" s="161"/>
      <c r="B5" s="161"/>
      <c r="C5" s="161"/>
      <c r="D5" s="161"/>
      <c r="E5" s="161"/>
      <c r="F5" s="161"/>
      <c r="G5" s="12"/>
      <c r="H5" s="1"/>
      <c r="I5" s="1"/>
      <c r="J5" s="1"/>
      <c r="K5" s="1"/>
      <c r="L5" s="1"/>
      <c r="M5" s="1"/>
      <c r="N5" s="1"/>
    </row>
    <row r="6" spans="1:14" ht="35.1" customHeight="1" x14ac:dyDescent="0.2">
      <c r="A6" s="49" t="s">
        <v>96</v>
      </c>
      <c r="B6" s="49" t="s">
        <v>97</v>
      </c>
      <c r="C6" s="49"/>
      <c r="D6" s="49" t="s">
        <v>71</v>
      </c>
      <c r="E6" s="38"/>
      <c r="F6" s="38"/>
      <c r="G6" s="38"/>
      <c r="H6" s="1"/>
      <c r="I6" s="1"/>
      <c r="J6" s="1"/>
      <c r="K6" s="1"/>
      <c r="L6" s="1"/>
    </row>
    <row r="7" spans="1:14" s="22" customFormat="1" ht="35.1" customHeight="1" x14ac:dyDescent="0.3">
      <c r="A7" s="57" t="s">
        <v>138</v>
      </c>
      <c r="B7" s="58" t="s">
        <v>139</v>
      </c>
      <c r="C7" s="58"/>
      <c r="D7" s="58" t="s">
        <v>140</v>
      </c>
      <c r="E7" s="40"/>
      <c r="F7" s="40"/>
      <c r="G7" s="40"/>
      <c r="H7" s="41"/>
      <c r="I7" s="41"/>
      <c r="J7" s="41"/>
      <c r="K7" s="41"/>
      <c r="L7" s="41"/>
    </row>
    <row r="8" spans="1:14" s="22" customFormat="1" ht="35.1" customHeight="1" x14ac:dyDescent="0.3">
      <c r="A8" s="57" t="s">
        <v>141</v>
      </c>
      <c r="B8" s="58" t="s">
        <v>139</v>
      </c>
      <c r="C8" s="58"/>
      <c r="D8" s="58" t="s">
        <v>108</v>
      </c>
      <c r="E8" s="40"/>
      <c r="F8" s="40"/>
      <c r="G8" s="40"/>
      <c r="H8" s="41"/>
      <c r="I8" s="41"/>
      <c r="J8" s="41"/>
      <c r="K8" s="41"/>
      <c r="L8" s="41"/>
    </row>
    <row r="9" spans="1:14" s="22" customFormat="1" ht="35.1" customHeight="1" x14ac:dyDescent="0.3">
      <c r="A9" s="57" t="s">
        <v>142</v>
      </c>
      <c r="B9" s="58" t="s">
        <v>139</v>
      </c>
      <c r="C9" s="58"/>
      <c r="D9" s="58" t="s">
        <v>143</v>
      </c>
      <c r="E9" s="40"/>
      <c r="F9" s="40"/>
      <c r="G9" s="40"/>
      <c r="H9" s="41"/>
      <c r="I9" s="41"/>
      <c r="J9" s="41"/>
      <c r="K9" s="41"/>
      <c r="L9" s="41"/>
    </row>
    <row r="10" spans="1:14" s="22" customFormat="1" ht="35.1" customHeight="1" x14ac:dyDescent="0.3">
      <c r="A10" s="57" t="s">
        <v>144</v>
      </c>
      <c r="B10" s="58" t="s">
        <v>139</v>
      </c>
      <c r="C10" s="58"/>
      <c r="D10" s="58" t="s">
        <v>65</v>
      </c>
      <c r="E10" s="40"/>
      <c r="F10" s="40"/>
      <c r="G10" s="40"/>
      <c r="H10" s="41"/>
      <c r="I10" s="41"/>
      <c r="J10" s="41"/>
      <c r="K10" s="41"/>
      <c r="L10" s="41"/>
    </row>
    <row r="11" spans="1:14" s="22" customFormat="1" ht="35.1" customHeight="1" x14ac:dyDescent="0.3">
      <c r="A11" s="57" t="s">
        <v>145</v>
      </c>
      <c r="B11" s="58" t="s">
        <v>139</v>
      </c>
      <c r="C11" s="58"/>
      <c r="D11" s="58" t="s">
        <v>65</v>
      </c>
      <c r="E11" s="40"/>
      <c r="F11" s="40"/>
      <c r="G11" s="40"/>
      <c r="H11" s="41"/>
      <c r="I11" s="41"/>
      <c r="J11" s="41"/>
      <c r="K11" s="41"/>
      <c r="L11" s="41"/>
    </row>
    <row r="12" spans="1:14" s="22" customFormat="1" ht="35.1" customHeight="1" x14ac:dyDescent="0.3">
      <c r="A12" s="57" t="s">
        <v>67</v>
      </c>
      <c r="B12" s="58" t="s">
        <v>139</v>
      </c>
      <c r="C12" s="58" t="s">
        <v>90</v>
      </c>
      <c r="D12" s="58" t="s">
        <v>146</v>
      </c>
      <c r="E12" s="40"/>
      <c r="F12" s="40"/>
      <c r="G12" s="40"/>
      <c r="H12" s="41"/>
      <c r="I12" s="41"/>
      <c r="J12" s="41"/>
      <c r="K12" s="41"/>
      <c r="L12" s="41"/>
    </row>
    <row r="13" spans="1:14" ht="19.5" customHeight="1" thickBot="1" x14ac:dyDescent="0.25">
      <c r="A13" s="167"/>
      <c r="B13" s="168"/>
      <c r="C13" s="168"/>
      <c r="D13" s="168"/>
      <c r="E13" s="168"/>
      <c r="F13" s="169"/>
      <c r="G13" s="42"/>
      <c r="H13" s="38"/>
      <c r="I13" s="39"/>
      <c r="J13" s="1"/>
      <c r="K13" s="1"/>
      <c r="L13" s="1"/>
      <c r="M13" s="1"/>
      <c r="N13" s="1"/>
    </row>
    <row r="14" spans="1:14" ht="36.950000000000003" customHeight="1" thickTop="1" thickBot="1" x14ac:dyDescent="0.25">
      <c r="A14" s="20" t="s">
        <v>6</v>
      </c>
      <c r="B14" s="20" t="s">
        <v>8</v>
      </c>
      <c r="C14" s="21" t="s">
        <v>12</v>
      </c>
      <c r="D14" s="20" t="s">
        <v>9</v>
      </c>
      <c r="E14" s="11" t="s">
        <v>10</v>
      </c>
    </row>
    <row r="15" spans="1:14" ht="60" customHeight="1" thickTop="1" thickBot="1" x14ac:dyDescent="0.25">
      <c r="A15" s="66"/>
      <c r="B15" s="66"/>
      <c r="C15" s="72"/>
      <c r="D15" s="100"/>
      <c r="E15" s="66"/>
    </row>
    <row r="16" spans="1:14" ht="60" customHeight="1" thickTop="1" x14ac:dyDescent="0.2">
      <c r="A16" s="101"/>
      <c r="B16" s="66"/>
      <c r="C16" s="71"/>
      <c r="D16" s="71"/>
      <c r="E16" s="66"/>
    </row>
  </sheetData>
  <sheetProtection algorithmName="SHA-512" hashValue="IKd9dw03KfkMdViPwodTDg0sZPPmsTAj1YvXVRObQ/tefzP+vqLhAaAhshJg+mI27rtwDUkuGBvhYL8XnYH55w==" saltValue="GxZf1RS7FKzDpaiAsTUKbg==" spinCount="100000" sheet="1" formatCells="0" formatColumns="0" formatRows="0" insertColumns="0" insertRows="0" insertHyperlinks="0" deleteColumns="0" deleteRows="0" sort="0" autoFilter="0" pivotTables="0"/>
  <mergeCells count="3">
    <mergeCell ref="A1:B3"/>
    <mergeCell ref="A13:F13"/>
    <mergeCell ref="A4:F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5</xdr:col>
                <xdr:colOff>1152525</xdr:colOff>
                <xdr:row>3</xdr:row>
                <xdr:rowOff>9525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F7E97-C6B3-4FE8-B427-BBF9DB9E8146}">
  <sheetPr codeName="Sheet7"/>
  <dimension ref="A1:O25"/>
  <sheetViews>
    <sheetView rightToLeft="1" topLeftCell="A3" zoomScale="60" zoomScaleNormal="60" workbookViewId="0">
      <selection activeCell="G16" sqref="G16"/>
    </sheetView>
  </sheetViews>
  <sheetFormatPr defaultRowHeight="14.25" x14ac:dyDescent="0.2"/>
  <cols>
    <col min="1" max="1" width="70.5" customWidth="1"/>
    <col min="2" max="2" width="51.375" bestFit="1" customWidth="1"/>
    <col min="3" max="3" width="20.625" customWidth="1"/>
    <col min="4" max="4" width="30.5" customWidth="1"/>
    <col min="5" max="5" width="35.5" bestFit="1" customWidth="1"/>
    <col min="6" max="6" width="15.625" customWidth="1"/>
    <col min="7" max="7" width="18.875" bestFit="1" customWidth="1"/>
    <col min="8" max="8" width="16.375" bestFit="1" customWidth="1"/>
  </cols>
  <sheetData>
    <row r="1" spans="1:15" ht="24.95" customHeight="1" x14ac:dyDescent="0.2">
      <c r="A1" s="170" t="s">
        <v>5</v>
      </c>
      <c r="B1" s="170"/>
      <c r="C1" s="170"/>
      <c r="D1" s="12"/>
      <c r="E1" s="12"/>
      <c r="F1" s="12"/>
      <c r="G1" s="12"/>
      <c r="H1" s="1"/>
      <c r="I1" s="1"/>
      <c r="J1" s="1"/>
      <c r="K1" s="1"/>
      <c r="L1" s="1"/>
      <c r="M1" s="1"/>
      <c r="N1" s="1"/>
      <c r="O1" s="1"/>
    </row>
    <row r="2" spans="1:15" ht="24.95" customHeight="1" x14ac:dyDescent="0.2">
      <c r="A2" s="170"/>
      <c r="B2" s="170"/>
      <c r="C2" s="170"/>
      <c r="D2" s="12"/>
      <c r="E2" s="12"/>
      <c r="F2" s="12"/>
      <c r="G2" s="12"/>
      <c r="H2" s="1"/>
      <c r="I2" s="1"/>
      <c r="J2" s="1"/>
      <c r="K2" s="1"/>
      <c r="L2" s="1"/>
      <c r="M2" s="1"/>
      <c r="N2" s="1"/>
      <c r="O2" s="1"/>
    </row>
    <row r="3" spans="1:15" ht="24.95" customHeight="1" x14ac:dyDescent="0.2">
      <c r="A3" s="170"/>
      <c r="B3" s="170"/>
      <c r="C3" s="170"/>
      <c r="D3" s="12"/>
      <c r="E3" s="12"/>
      <c r="F3" s="12"/>
      <c r="G3" s="12"/>
      <c r="H3" s="1"/>
      <c r="I3" s="1"/>
      <c r="J3" s="1"/>
      <c r="K3" s="1"/>
      <c r="L3" s="1"/>
      <c r="M3" s="1"/>
      <c r="N3" s="1"/>
      <c r="O3" s="1"/>
    </row>
    <row r="4" spans="1:15" ht="24.95" customHeight="1" x14ac:dyDescent="0.2">
      <c r="A4" s="153" t="s">
        <v>163</v>
      </c>
      <c r="B4" s="153"/>
      <c r="C4" s="153"/>
      <c r="D4" s="153"/>
      <c r="E4" s="153"/>
      <c r="F4" s="153"/>
      <c r="G4" s="12"/>
      <c r="H4" s="1"/>
      <c r="I4" s="1"/>
      <c r="J4" s="1"/>
      <c r="K4" s="1"/>
      <c r="L4" s="1"/>
      <c r="M4" s="1"/>
      <c r="N4" s="1"/>
      <c r="O4" s="1"/>
    </row>
    <row r="5" spans="1:15" ht="24.95" customHeight="1" x14ac:dyDescent="0.2">
      <c r="A5" s="171"/>
      <c r="B5" s="171"/>
      <c r="C5" s="171"/>
      <c r="D5" s="171"/>
      <c r="E5" s="171"/>
      <c r="F5" s="171"/>
      <c r="G5" s="12"/>
      <c r="H5" s="1"/>
      <c r="I5" s="1"/>
      <c r="J5" s="1"/>
      <c r="K5" s="1"/>
      <c r="L5" s="1"/>
      <c r="M5" s="1"/>
      <c r="N5" s="1"/>
      <c r="O5" s="1"/>
    </row>
    <row r="6" spans="1:15" ht="35.1" customHeight="1" x14ac:dyDescent="0.2">
      <c r="A6" s="50" t="s">
        <v>96</v>
      </c>
      <c r="B6" s="50" t="s">
        <v>97</v>
      </c>
      <c r="C6" s="50"/>
      <c r="D6" s="50" t="s">
        <v>71</v>
      </c>
      <c r="E6" s="12"/>
      <c r="F6" s="1"/>
      <c r="G6" s="1"/>
      <c r="H6" s="1"/>
      <c r="I6" s="1"/>
      <c r="J6" s="1"/>
      <c r="K6" s="1"/>
      <c r="L6" s="1"/>
      <c r="M6" s="1"/>
    </row>
    <row r="7" spans="1:15" ht="35.1" customHeight="1" x14ac:dyDescent="0.2">
      <c r="A7" s="59" t="s">
        <v>147</v>
      </c>
      <c r="B7" s="58" t="s">
        <v>148</v>
      </c>
      <c r="C7" s="58"/>
      <c r="D7" s="58" t="s">
        <v>149</v>
      </c>
      <c r="E7" s="12"/>
      <c r="F7" s="1"/>
      <c r="G7" s="1"/>
      <c r="H7" s="1"/>
      <c r="I7" s="1"/>
      <c r="J7" s="1"/>
      <c r="K7" s="1"/>
      <c r="L7" s="1"/>
      <c r="M7" s="1"/>
    </row>
    <row r="8" spans="1:15" ht="35.1" customHeight="1" x14ac:dyDescent="0.2">
      <c r="A8" s="59" t="s">
        <v>150</v>
      </c>
      <c r="B8" s="58" t="s">
        <v>148</v>
      </c>
      <c r="C8" s="58"/>
      <c r="D8" s="58" t="s">
        <v>151</v>
      </c>
      <c r="E8" s="12"/>
      <c r="F8" s="1"/>
      <c r="G8" s="1"/>
      <c r="H8" s="1"/>
      <c r="I8" s="1"/>
      <c r="J8" s="1"/>
      <c r="K8" s="1"/>
      <c r="L8" s="1"/>
      <c r="M8" s="1"/>
    </row>
    <row r="9" spans="1:15" ht="35.1" customHeight="1" x14ac:dyDescent="0.2">
      <c r="A9" s="59" t="s">
        <v>152</v>
      </c>
      <c r="B9" s="58" t="s">
        <v>148</v>
      </c>
      <c r="C9" s="58"/>
      <c r="D9" s="58" t="s">
        <v>153</v>
      </c>
      <c r="E9" s="12"/>
      <c r="F9" s="1"/>
      <c r="G9" s="1"/>
      <c r="H9" s="1"/>
      <c r="I9" s="1"/>
      <c r="J9" s="1"/>
      <c r="K9" s="1"/>
      <c r="L9" s="1"/>
      <c r="M9" s="1"/>
    </row>
    <row r="10" spans="1:15" ht="35.1" customHeight="1" x14ac:dyDescent="0.2">
      <c r="A10" s="59" t="s">
        <v>154</v>
      </c>
      <c r="B10" s="58" t="s">
        <v>148</v>
      </c>
      <c r="C10" s="58"/>
      <c r="D10" s="58" t="s">
        <v>65</v>
      </c>
      <c r="E10" s="12"/>
      <c r="F10" s="1"/>
      <c r="G10" s="1"/>
      <c r="H10" s="1"/>
      <c r="I10" s="1"/>
      <c r="J10" s="1"/>
      <c r="K10" s="1"/>
      <c r="L10" s="1"/>
      <c r="M10" s="1"/>
    </row>
    <row r="11" spans="1:15" ht="35.1" customHeight="1" x14ac:dyDescent="0.2">
      <c r="A11" s="59" t="s">
        <v>155</v>
      </c>
      <c r="B11" s="58" t="s">
        <v>148</v>
      </c>
      <c r="C11" s="58"/>
      <c r="D11" s="58" t="s">
        <v>65</v>
      </c>
      <c r="E11" s="12"/>
      <c r="F11" s="1"/>
      <c r="G11" s="1"/>
      <c r="H11" s="1"/>
      <c r="I11" s="1"/>
      <c r="J11" s="1"/>
      <c r="K11" s="1"/>
      <c r="L11" s="1"/>
      <c r="M11" s="1"/>
    </row>
    <row r="12" spans="1:15" ht="35.1" customHeight="1" x14ac:dyDescent="0.2">
      <c r="A12" s="59" t="s">
        <v>156</v>
      </c>
      <c r="B12" s="58" t="s">
        <v>148</v>
      </c>
      <c r="C12" s="58"/>
      <c r="D12" s="58" t="s">
        <v>157</v>
      </c>
      <c r="E12" s="12"/>
      <c r="F12" s="1"/>
      <c r="G12" s="1"/>
      <c r="H12" s="1"/>
      <c r="I12" s="1"/>
      <c r="J12" s="1"/>
      <c r="K12" s="1"/>
      <c r="L12" s="1"/>
      <c r="M12" s="1"/>
    </row>
    <row r="13" spans="1:15" ht="35.1" customHeight="1" x14ac:dyDescent="0.2">
      <c r="A13" s="59" t="s">
        <v>69</v>
      </c>
      <c r="B13" s="58" t="s">
        <v>148</v>
      </c>
      <c r="C13" s="58"/>
      <c r="D13" s="58" t="s">
        <v>158</v>
      </c>
      <c r="E13" s="12"/>
      <c r="F13" s="1"/>
      <c r="G13" s="1"/>
      <c r="H13" s="1"/>
      <c r="I13" s="1"/>
      <c r="J13" s="1"/>
      <c r="K13" s="1"/>
      <c r="L13" s="1"/>
      <c r="M13" s="1"/>
    </row>
    <row r="14" spans="1:15" ht="21" thickBot="1" x14ac:dyDescent="0.25">
      <c r="A14" s="172"/>
      <c r="B14" s="172"/>
      <c r="C14" s="172"/>
      <c r="D14" s="172"/>
      <c r="E14" s="172"/>
      <c r="F14" s="172"/>
      <c r="G14" s="12"/>
      <c r="H14" s="1"/>
      <c r="I14" s="1"/>
      <c r="J14" s="1"/>
      <c r="K14" s="1"/>
      <c r="L14" s="1"/>
      <c r="M14" s="1"/>
      <c r="N14" s="1"/>
      <c r="O14" s="1"/>
    </row>
    <row r="15" spans="1:15" ht="60" customHeight="1" thickTop="1" thickBot="1" x14ac:dyDescent="0.25">
      <c r="A15" s="11" t="s">
        <v>6</v>
      </c>
      <c r="B15" s="11" t="s">
        <v>8</v>
      </c>
      <c r="C15" s="17" t="s">
        <v>12</v>
      </c>
      <c r="D15" s="11" t="s">
        <v>9</v>
      </c>
      <c r="E15" s="11" t="s">
        <v>10</v>
      </c>
    </row>
    <row r="16" spans="1:15" ht="60" customHeight="1" thickTop="1" thickBot="1" x14ac:dyDescent="0.25">
      <c r="A16" s="62" t="s">
        <v>37</v>
      </c>
      <c r="B16" s="70" t="s">
        <v>42</v>
      </c>
      <c r="C16" s="72">
        <v>1920</v>
      </c>
      <c r="D16" s="100" t="s">
        <v>33</v>
      </c>
      <c r="E16" s="113" t="s">
        <v>333</v>
      </c>
    </row>
    <row r="17" spans="1:5" ht="60" customHeight="1" thickTop="1" thickBot="1" x14ac:dyDescent="0.25">
      <c r="A17" s="62" t="s">
        <v>43</v>
      </c>
      <c r="B17" s="70" t="s">
        <v>44</v>
      </c>
      <c r="C17" s="72">
        <v>8000</v>
      </c>
      <c r="D17" s="100" t="s">
        <v>33</v>
      </c>
      <c r="E17" s="113" t="s">
        <v>334</v>
      </c>
    </row>
    <row r="18" spans="1:5" ht="60" customHeight="1" thickTop="1" thickBot="1" x14ac:dyDescent="0.25">
      <c r="A18" s="62" t="s">
        <v>46</v>
      </c>
      <c r="B18" s="70" t="s">
        <v>42</v>
      </c>
      <c r="C18" s="72">
        <v>4870</v>
      </c>
      <c r="D18" s="100" t="s">
        <v>33</v>
      </c>
      <c r="E18" s="113" t="s">
        <v>335</v>
      </c>
    </row>
    <row r="19" spans="1:5" ht="60" customHeight="1" thickTop="1" thickBot="1" x14ac:dyDescent="0.25">
      <c r="A19" s="62" t="s">
        <v>47</v>
      </c>
      <c r="B19" s="70" t="s">
        <v>48</v>
      </c>
      <c r="C19" s="72">
        <v>27000</v>
      </c>
      <c r="D19" s="100" t="s">
        <v>33</v>
      </c>
      <c r="E19" s="113" t="s">
        <v>336</v>
      </c>
    </row>
    <row r="20" spans="1:5" ht="60" customHeight="1" thickTop="1" thickBot="1" x14ac:dyDescent="0.25">
      <c r="A20" s="62" t="s">
        <v>49</v>
      </c>
      <c r="B20" s="70" t="s">
        <v>50</v>
      </c>
      <c r="C20" s="72">
        <v>22500</v>
      </c>
      <c r="D20" s="100" t="s">
        <v>33</v>
      </c>
      <c r="E20" s="112" t="s">
        <v>337</v>
      </c>
    </row>
    <row r="21" spans="1:5" ht="60" customHeight="1" thickTop="1" x14ac:dyDescent="0.2">
      <c r="A21" s="62" t="s">
        <v>34</v>
      </c>
      <c r="B21" s="70" t="s">
        <v>45</v>
      </c>
      <c r="C21" s="72">
        <v>2000</v>
      </c>
      <c r="D21" s="100" t="s">
        <v>33</v>
      </c>
      <c r="E21" s="113" t="s">
        <v>338</v>
      </c>
    </row>
    <row r="22" spans="1:5" ht="60" customHeight="1" x14ac:dyDescent="0.2"/>
    <row r="23" spans="1:5" ht="60" customHeight="1" x14ac:dyDescent="0.2"/>
    <row r="24" spans="1:5" ht="14.1" customHeight="1" x14ac:dyDescent="0.2"/>
    <row r="25" spans="1:5" ht="14.45" customHeight="1" x14ac:dyDescent="0.2"/>
  </sheetData>
  <sheetProtection algorithmName="SHA-512" hashValue="TQMoZCQDBB1wS9lySevWO/hjdxEbRHIqVC85CL17reg2Qy+KtZLKrMrIGN7nCW6DmMqQyGWDBL4DFqmfsHsoYQ==" saltValue="WCaMjOdU6wBrSqrfVA6tlg==" spinCount="100000" sheet="1" formatCells="0" formatColumns="0" formatRows="0" insertColumns="0" insertRows="0" insertHyperlinks="0" deleteColumns="0" deleteRows="0" sort="0" autoFilter="0" pivotTables="0"/>
  <mergeCells count="3">
    <mergeCell ref="A1:C3"/>
    <mergeCell ref="A4:F5"/>
    <mergeCell ref="A14:F1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autoPict="0" r:id="rId4">
            <anchor moveWithCells="1">
              <from>
                <xdr:col>3</xdr:col>
                <xdr:colOff>9525</xdr:colOff>
                <xdr:row>0</xdr:row>
                <xdr:rowOff>9525</xdr:rowOff>
              </from>
              <to>
                <xdr:col>4</xdr:col>
                <xdr:colOff>2371725</xdr:colOff>
                <xdr:row>3</xdr:row>
                <xdr:rowOff>19050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FF1-238F-45AD-B78F-526DE533893A}">
  <dimension ref="A1:G184"/>
  <sheetViews>
    <sheetView rightToLeft="1" topLeftCell="H176" workbookViewId="0">
      <selection activeCell="B184" sqref="B184"/>
    </sheetView>
  </sheetViews>
  <sheetFormatPr defaultRowHeight="14.25" x14ac:dyDescent="0.2"/>
  <cols>
    <col min="1" max="1" width="79.125" bestFit="1" customWidth="1"/>
    <col min="2" max="2" width="18.875" bestFit="1" customWidth="1"/>
    <col min="3" max="3" width="23.875" bestFit="1" customWidth="1"/>
  </cols>
  <sheetData>
    <row r="1" spans="1:3" ht="14.1" customHeight="1" x14ac:dyDescent="0.2"/>
    <row r="2" spans="1:3" ht="19.5" customHeight="1" x14ac:dyDescent="0.2">
      <c r="A2" s="140" t="s">
        <v>372</v>
      </c>
      <c r="B2" s="140" t="s">
        <v>299</v>
      </c>
    </row>
    <row r="3" spans="1:3" ht="14.1" customHeight="1" x14ac:dyDescent="0.25">
      <c r="A3" s="121" t="s">
        <v>202</v>
      </c>
      <c r="B3" s="139">
        <v>5</v>
      </c>
    </row>
    <row r="4" spans="1:3" ht="14.1" customHeight="1" x14ac:dyDescent="0.25">
      <c r="A4" s="121" t="s">
        <v>178</v>
      </c>
      <c r="B4" s="139">
        <v>2100</v>
      </c>
      <c r="C4">
        <v>7</v>
      </c>
    </row>
    <row r="5" spans="1:3" ht="15" x14ac:dyDescent="0.25">
      <c r="A5" s="121" t="s">
        <v>179</v>
      </c>
      <c r="B5" s="139">
        <v>600</v>
      </c>
      <c r="C5">
        <v>2</v>
      </c>
    </row>
    <row r="6" spans="1:3" ht="15" x14ac:dyDescent="0.25">
      <c r="A6" s="121" t="s">
        <v>180</v>
      </c>
      <c r="B6" s="139">
        <v>600</v>
      </c>
      <c r="C6">
        <v>2</v>
      </c>
    </row>
    <row r="7" spans="1:3" ht="15" x14ac:dyDescent="0.25">
      <c r="A7" s="121" t="s">
        <v>181</v>
      </c>
      <c r="B7" s="139">
        <v>900</v>
      </c>
      <c r="C7">
        <v>3</v>
      </c>
    </row>
    <row r="8" spans="1:3" ht="15" x14ac:dyDescent="0.25">
      <c r="A8" s="121" t="s">
        <v>182</v>
      </c>
      <c r="B8" s="139">
        <v>300</v>
      </c>
    </row>
    <row r="9" spans="1:3" ht="15" x14ac:dyDescent="0.25">
      <c r="A9" s="121" t="s">
        <v>183</v>
      </c>
      <c r="B9" s="139">
        <v>15000</v>
      </c>
      <c r="C9" t="s">
        <v>431</v>
      </c>
    </row>
    <row r="10" spans="1:3" ht="15" x14ac:dyDescent="0.25">
      <c r="A10" s="121" t="s">
        <v>183</v>
      </c>
      <c r="B10" s="139">
        <v>1200</v>
      </c>
      <c r="C10">
        <v>4</v>
      </c>
    </row>
    <row r="11" spans="1:3" ht="15" x14ac:dyDescent="0.25">
      <c r="A11" s="121" t="s">
        <v>184</v>
      </c>
      <c r="B11" s="139">
        <v>300</v>
      </c>
    </row>
    <row r="12" spans="1:3" ht="15" x14ac:dyDescent="0.25">
      <c r="A12" s="121" t="s">
        <v>185</v>
      </c>
      <c r="B12" s="139">
        <v>1200</v>
      </c>
      <c r="C12">
        <v>4</v>
      </c>
    </row>
    <row r="13" spans="1:3" ht="15" x14ac:dyDescent="0.25">
      <c r="A13" s="121" t="s">
        <v>186</v>
      </c>
      <c r="B13" s="139">
        <v>15000</v>
      </c>
      <c r="C13" t="s">
        <v>431</v>
      </c>
    </row>
    <row r="14" spans="1:3" ht="15" x14ac:dyDescent="0.25">
      <c r="A14" s="121" t="s">
        <v>187</v>
      </c>
      <c r="B14" s="139">
        <v>1800</v>
      </c>
      <c r="C14" t="s">
        <v>432</v>
      </c>
    </row>
    <row r="15" spans="1:3" ht="15" x14ac:dyDescent="0.25">
      <c r="A15" s="121" t="s">
        <v>188</v>
      </c>
      <c r="B15" s="139">
        <v>3000</v>
      </c>
      <c r="C15" t="s">
        <v>433</v>
      </c>
    </row>
    <row r="16" spans="1:3" ht="15" x14ac:dyDescent="0.25">
      <c r="A16" s="121" t="s">
        <v>186</v>
      </c>
      <c r="B16" s="139">
        <v>7000</v>
      </c>
      <c r="C16" t="s">
        <v>431</v>
      </c>
    </row>
    <row r="17" spans="1:3" ht="15" x14ac:dyDescent="0.25">
      <c r="A17" s="121" t="s">
        <v>186</v>
      </c>
      <c r="B17" s="139">
        <v>8000</v>
      </c>
      <c r="C17" t="s">
        <v>431</v>
      </c>
    </row>
    <row r="18" spans="1:3" ht="15" x14ac:dyDescent="0.25">
      <c r="A18" s="121" t="s">
        <v>189</v>
      </c>
      <c r="B18" s="139">
        <v>15000</v>
      </c>
      <c r="C18" t="s">
        <v>431</v>
      </c>
    </row>
    <row r="19" spans="1:3" ht="15" x14ac:dyDescent="0.25">
      <c r="A19" s="121" t="s">
        <v>190</v>
      </c>
      <c r="B19" s="139">
        <v>15000</v>
      </c>
      <c r="C19" t="s">
        <v>431</v>
      </c>
    </row>
    <row r="20" spans="1:3" ht="15" x14ac:dyDescent="0.25">
      <c r="A20" s="121" t="s">
        <v>191</v>
      </c>
      <c r="B20" s="139">
        <v>1500</v>
      </c>
      <c r="C20">
        <v>5</v>
      </c>
    </row>
    <row r="21" spans="1:3" ht="15" x14ac:dyDescent="0.25">
      <c r="A21" s="121" t="s">
        <v>192</v>
      </c>
      <c r="B21" s="139">
        <v>15000</v>
      </c>
      <c r="C21" t="s">
        <v>431</v>
      </c>
    </row>
    <row r="22" spans="1:3" ht="15" x14ac:dyDescent="0.25">
      <c r="A22" s="121" t="s">
        <v>193</v>
      </c>
      <c r="B22" s="139">
        <v>900</v>
      </c>
      <c r="C22">
        <v>3</v>
      </c>
    </row>
    <row r="23" spans="1:3" ht="15" x14ac:dyDescent="0.25">
      <c r="A23" s="121" t="s">
        <v>194</v>
      </c>
      <c r="B23" s="139">
        <v>3000</v>
      </c>
    </row>
    <row r="24" spans="1:3" ht="15" x14ac:dyDescent="0.25">
      <c r="A24" s="121" t="s">
        <v>195</v>
      </c>
      <c r="B24" s="139">
        <v>8100</v>
      </c>
      <c r="C24">
        <v>27</v>
      </c>
    </row>
    <row r="25" spans="1:3" ht="15" x14ac:dyDescent="0.25">
      <c r="A25" s="121" t="s">
        <v>196</v>
      </c>
      <c r="B25" s="139">
        <v>600</v>
      </c>
      <c r="C25">
        <v>2</v>
      </c>
    </row>
    <row r="26" spans="1:3" ht="15" x14ac:dyDescent="0.25">
      <c r="A26" s="121" t="s">
        <v>197</v>
      </c>
      <c r="B26" s="139">
        <v>600</v>
      </c>
      <c r="C26">
        <v>2</v>
      </c>
    </row>
    <row r="27" spans="1:3" ht="15" x14ac:dyDescent="0.25">
      <c r="A27" s="121" t="s">
        <v>198</v>
      </c>
      <c r="B27" s="139">
        <v>600</v>
      </c>
      <c r="C27" t="s">
        <v>438</v>
      </c>
    </row>
    <row r="28" spans="1:3" ht="15" x14ac:dyDescent="0.25">
      <c r="A28" s="121" t="s">
        <v>199</v>
      </c>
      <c r="B28" s="139">
        <v>600</v>
      </c>
      <c r="C28">
        <v>2</v>
      </c>
    </row>
    <row r="29" spans="1:3" ht="15" x14ac:dyDescent="0.25">
      <c r="A29" s="121" t="s">
        <v>200</v>
      </c>
      <c r="B29" s="139">
        <v>2100</v>
      </c>
      <c r="C29" t="s">
        <v>434</v>
      </c>
    </row>
    <row r="30" spans="1:3" ht="15" x14ac:dyDescent="0.25">
      <c r="A30" s="121" t="s">
        <v>201</v>
      </c>
      <c r="B30" s="139">
        <v>900</v>
      </c>
      <c r="C30">
        <v>3</v>
      </c>
    </row>
    <row r="31" spans="1:3" ht="15" x14ac:dyDescent="0.25">
      <c r="A31" s="121" t="s">
        <v>201</v>
      </c>
      <c r="B31" s="139">
        <v>300</v>
      </c>
    </row>
    <row r="32" spans="1:3" ht="15" x14ac:dyDescent="0.25">
      <c r="A32" s="121" t="s">
        <v>202</v>
      </c>
      <c r="B32" s="139">
        <v>1800</v>
      </c>
      <c r="C32">
        <v>6</v>
      </c>
    </row>
    <row r="33" spans="1:3" ht="15" x14ac:dyDescent="0.25">
      <c r="A33" s="121" t="s">
        <v>203</v>
      </c>
      <c r="B33" s="139">
        <v>1</v>
      </c>
    </row>
    <row r="34" spans="1:3" ht="15" x14ac:dyDescent="0.25">
      <c r="A34" s="121" t="s">
        <v>194</v>
      </c>
      <c r="B34" s="139">
        <v>50</v>
      </c>
    </row>
    <row r="35" spans="1:3" ht="15" x14ac:dyDescent="0.25">
      <c r="A35" s="121" t="s">
        <v>203</v>
      </c>
      <c r="B35" s="139">
        <v>12000</v>
      </c>
      <c r="C35" t="s">
        <v>435</v>
      </c>
    </row>
    <row r="36" spans="1:3" ht="15" x14ac:dyDescent="0.25">
      <c r="A36" s="121" t="s">
        <v>204</v>
      </c>
      <c r="B36" s="139">
        <v>1500</v>
      </c>
      <c r="C36">
        <v>5</v>
      </c>
    </row>
    <row r="37" spans="1:3" ht="15" x14ac:dyDescent="0.25">
      <c r="A37" s="121" t="s">
        <v>205</v>
      </c>
      <c r="B37" s="139">
        <v>2100</v>
      </c>
      <c r="C37">
        <v>7</v>
      </c>
    </row>
    <row r="38" spans="1:3" ht="15" x14ac:dyDescent="0.25">
      <c r="A38" s="121" t="s">
        <v>206</v>
      </c>
      <c r="B38" s="139">
        <v>300</v>
      </c>
    </row>
    <row r="39" spans="1:3" ht="15" x14ac:dyDescent="0.25">
      <c r="A39" s="121" t="s">
        <v>207</v>
      </c>
      <c r="B39" s="139">
        <v>1800</v>
      </c>
      <c r="C39">
        <v>6</v>
      </c>
    </row>
    <row r="40" spans="1:3" ht="15" x14ac:dyDescent="0.25">
      <c r="A40" s="121" t="s">
        <v>208</v>
      </c>
      <c r="B40" s="139">
        <v>300</v>
      </c>
    </row>
    <row r="41" spans="1:3" ht="15" x14ac:dyDescent="0.25">
      <c r="A41" s="121" t="s">
        <v>209</v>
      </c>
      <c r="B41" s="139">
        <v>1200</v>
      </c>
      <c r="C41">
        <v>4</v>
      </c>
    </row>
    <row r="42" spans="1:3" ht="15" x14ac:dyDescent="0.25">
      <c r="A42" s="121" t="s">
        <v>210</v>
      </c>
      <c r="B42" s="139">
        <v>600</v>
      </c>
      <c r="C42">
        <v>2</v>
      </c>
    </row>
    <row r="43" spans="1:3" ht="15" x14ac:dyDescent="0.25">
      <c r="A43" s="121" t="s">
        <v>211</v>
      </c>
      <c r="B43" s="139">
        <v>900</v>
      </c>
      <c r="C43">
        <v>3</v>
      </c>
    </row>
    <row r="44" spans="1:3" ht="15" x14ac:dyDescent="0.25">
      <c r="A44" s="121" t="s">
        <v>212</v>
      </c>
      <c r="B44" s="139">
        <v>300</v>
      </c>
      <c r="C44" t="s">
        <v>437</v>
      </c>
    </row>
    <row r="45" spans="1:3" ht="15" x14ac:dyDescent="0.25">
      <c r="A45" s="121" t="s">
        <v>213</v>
      </c>
      <c r="B45" s="139">
        <v>300</v>
      </c>
      <c r="C45" t="s">
        <v>437</v>
      </c>
    </row>
    <row r="46" spans="1:3" ht="15" x14ac:dyDescent="0.25">
      <c r="A46" s="121" t="s">
        <v>214</v>
      </c>
      <c r="B46" s="139">
        <v>15000</v>
      </c>
      <c r="C46" t="s">
        <v>431</v>
      </c>
    </row>
    <row r="47" spans="1:3" ht="15" x14ac:dyDescent="0.25">
      <c r="A47" s="121" t="s">
        <v>215</v>
      </c>
      <c r="B47" s="139">
        <v>1200</v>
      </c>
      <c r="C47">
        <v>4</v>
      </c>
    </row>
    <row r="48" spans="1:3" ht="15" x14ac:dyDescent="0.25">
      <c r="A48" s="121" t="s">
        <v>216</v>
      </c>
      <c r="B48" s="139">
        <v>1200</v>
      </c>
      <c r="C48">
        <v>4</v>
      </c>
    </row>
    <row r="49" spans="1:3" ht="15" x14ac:dyDescent="0.25">
      <c r="A49" s="121" t="s">
        <v>194</v>
      </c>
      <c r="B49" s="139">
        <v>2000</v>
      </c>
    </row>
    <row r="50" spans="1:3" ht="15" x14ac:dyDescent="0.25">
      <c r="A50" s="121" t="s">
        <v>217</v>
      </c>
      <c r="B50" s="139">
        <v>3300</v>
      </c>
      <c r="C50" t="s">
        <v>436</v>
      </c>
    </row>
    <row r="51" spans="1:3" ht="15" x14ac:dyDescent="0.25">
      <c r="A51" s="121" t="s">
        <v>218</v>
      </c>
      <c r="B51" s="139">
        <v>1500</v>
      </c>
      <c r="C51">
        <v>5</v>
      </c>
    </row>
    <row r="52" spans="1:3" ht="15" x14ac:dyDescent="0.25">
      <c r="A52" s="121" t="s">
        <v>219</v>
      </c>
      <c r="B52" s="139">
        <v>600</v>
      </c>
      <c r="C52">
        <v>2</v>
      </c>
    </row>
    <row r="53" spans="1:3" ht="15" x14ac:dyDescent="0.25">
      <c r="A53" s="121" t="s">
        <v>220</v>
      </c>
      <c r="B53" s="139">
        <v>300</v>
      </c>
    </row>
    <row r="54" spans="1:3" ht="15" x14ac:dyDescent="0.25">
      <c r="A54" s="121" t="s">
        <v>221</v>
      </c>
      <c r="B54" s="139">
        <v>600</v>
      </c>
      <c r="C54">
        <v>2</v>
      </c>
    </row>
    <row r="55" spans="1:3" ht="15" x14ac:dyDescent="0.25">
      <c r="A55" s="121" t="s">
        <v>186</v>
      </c>
      <c r="B55" s="139">
        <v>5700</v>
      </c>
      <c r="C55" t="s">
        <v>439</v>
      </c>
    </row>
    <row r="56" spans="1:3" ht="15" x14ac:dyDescent="0.25">
      <c r="A56" s="121" t="s">
        <v>222</v>
      </c>
      <c r="B56" s="139">
        <v>15000</v>
      </c>
      <c r="C56" t="s">
        <v>431</v>
      </c>
    </row>
    <row r="57" spans="1:3" ht="15" x14ac:dyDescent="0.25">
      <c r="A57" s="121" t="s">
        <v>223</v>
      </c>
      <c r="B57" s="139">
        <v>3000</v>
      </c>
      <c r="C57">
        <v>10</v>
      </c>
    </row>
    <row r="58" spans="1:3" ht="15" x14ac:dyDescent="0.25">
      <c r="A58" s="121" t="s">
        <v>224</v>
      </c>
      <c r="B58" s="139">
        <v>3900</v>
      </c>
      <c r="C58" t="s">
        <v>440</v>
      </c>
    </row>
    <row r="59" spans="1:3" ht="15" x14ac:dyDescent="0.25">
      <c r="A59" s="121" t="s">
        <v>225</v>
      </c>
      <c r="B59" s="139">
        <v>1800</v>
      </c>
      <c r="C59">
        <v>6</v>
      </c>
    </row>
    <row r="60" spans="1:3" ht="15" x14ac:dyDescent="0.25">
      <c r="A60" s="121" t="s">
        <v>226</v>
      </c>
      <c r="B60" s="139">
        <v>300</v>
      </c>
    </row>
    <row r="61" spans="1:3" ht="15" x14ac:dyDescent="0.25">
      <c r="A61" s="121" t="s">
        <v>227</v>
      </c>
      <c r="B61" s="139">
        <v>300</v>
      </c>
    </row>
    <row r="62" spans="1:3" ht="15" x14ac:dyDescent="0.25">
      <c r="A62" s="121" t="s">
        <v>228</v>
      </c>
      <c r="B62" s="139">
        <v>1500</v>
      </c>
      <c r="C62" t="s">
        <v>441</v>
      </c>
    </row>
    <row r="63" spans="1:3" ht="15" x14ac:dyDescent="0.25">
      <c r="A63" s="121" t="s">
        <v>229</v>
      </c>
      <c r="B63" s="139">
        <v>1000</v>
      </c>
      <c r="C63" t="s">
        <v>442</v>
      </c>
    </row>
    <row r="64" spans="1:3" ht="15" x14ac:dyDescent="0.25">
      <c r="A64" s="121" t="s">
        <v>230</v>
      </c>
      <c r="B64" s="139">
        <v>600</v>
      </c>
      <c r="C64">
        <v>2</v>
      </c>
    </row>
    <row r="65" spans="1:3" ht="15" x14ac:dyDescent="0.25">
      <c r="A65" s="121" t="s">
        <v>231</v>
      </c>
      <c r="B65" s="139">
        <v>2400</v>
      </c>
      <c r="C65">
        <v>8</v>
      </c>
    </row>
    <row r="66" spans="1:3" ht="15" x14ac:dyDescent="0.25">
      <c r="A66" s="121" t="s">
        <v>232</v>
      </c>
      <c r="B66" s="139">
        <v>300</v>
      </c>
    </row>
    <row r="67" spans="1:3" ht="15" x14ac:dyDescent="0.25">
      <c r="A67" s="121" t="s">
        <v>233</v>
      </c>
      <c r="B67" s="139">
        <v>2700</v>
      </c>
      <c r="C67">
        <v>9</v>
      </c>
    </row>
    <row r="68" spans="1:3" ht="15" x14ac:dyDescent="0.25">
      <c r="A68" s="121" t="s">
        <v>234</v>
      </c>
      <c r="B68" s="139">
        <v>1500</v>
      </c>
      <c r="C68">
        <v>5</v>
      </c>
    </row>
    <row r="69" spans="1:3" ht="15" x14ac:dyDescent="0.25">
      <c r="A69" s="121" t="s">
        <v>235</v>
      </c>
      <c r="B69" s="139">
        <v>6600</v>
      </c>
    </row>
    <row r="70" spans="1:3" ht="15" x14ac:dyDescent="0.25">
      <c r="A70" s="121" t="s">
        <v>236</v>
      </c>
      <c r="B70" s="139">
        <v>300</v>
      </c>
    </row>
    <row r="71" spans="1:3" ht="15" x14ac:dyDescent="0.25">
      <c r="A71" s="121" t="s">
        <v>237</v>
      </c>
      <c r="B71" s="139">
        <v>300</v>
      </c>
    </row>
    <row r="72" spans="1:3" ht="15" x14ac:dyDescent="0.25">
      <c r="A72" s="121" t="s">
        <v>238</v>
      </c>
      <c r="B72" s="139">
        <v>1200</v>
      </c>
      <c r="C72" t="s">
        <v>443</v>
      </c>
    </row>
    <row r="73" spans="1:3" ht="15" x14ac:dyDescent="0.25">
      <c r="A73" s="121" t="s">
        <v>239</v>
      </c>
      <c r="B73" s="139">
        <v>900</v>
      </c>
      <c r="C73" t="s">
        <v>444</v>
      </c>
    </row>
    <row r="74" spans="1:3" ht="15" x14ac:dyDescent="0.25">
      <c r="A74" s="121" t="s">
        <v>240</v>
      </c>
      <c r="B74" s="139">
        <v>1800</v>
      </c>
      <c r="C74">
        <v>6</v>
      </c>
    </row>
    <row r="75" spans="1:3" ht="15" x14ac:dyDescent="0.25">
      <c r="A75" s="121" t="s">
        <v>241</v>
      </c>
      <c r="B75" s="139">
        <v>2100</v>
      </c>
      <c r="C75" t="s">
        <v>445</v>
      </c>
    </row>
    <row r="76" spans="1:3" ht="15" x14ac:dyDescent="0.25">
      <c r="A76" s="121" t="s">
        <v>242</v>
      </c>
      <c r="B76" s="139">
        <v>2400</v>
      </c>
      <c r="C76">
        <v>8</v>
      </c>
    </row>
    <row r="77" spans="1:3" ht="15" x14ac:dyDescent="0.25">
      <c r="A77" s="121" t="s">
        <v>243</v>
      </c>
      <c r="B77" s="139">
        <v>600</v>
      </c>
      <c r="C77">
        <v>2</v>
      </c>
    </row>
    <row r="78" spans="1:3" ht="15" x14ac:dyDescent="0.25">
      <c r="A78" s="121" t="s">
        <v>244</v>
      </c>
      <c r="B78" s="139">
        <v>1200</v>
      </c>
      <c r="C78">
        <v>4</v>
      </c>
    </row>
    <row r="79" spans="1:3" ht="15" x14ac:dyDescent="0.25">
      <c r="A79" s="121" t="s">
        <v>194</v>
      </c>
      <c r="B79" s="139">
        <v>0</v>
      </c>
    </row>
    <row r="80" spans="1:3" ht="15" x14ac:dyDescent="0.25">
      <c r="A80" s="121" t="s">
        <v>194</v>
      </c>
      <c r="B80" s="139">
        <v>10</v>
      </c>
    </row>
    <row r="81" spans="1:4" ht="15" x14ac:dyDescent="0.25">
      <c r="A81" s="121" t="s">
        <v>245</v>
      </c>
      <c r="B81" s="139">
        <v>2100</v>
      </c>
      <c r="C81">
        <v>7</v>
      </c>
    </row>
    <row r="82" spans="1:4" ht="15" x14ac:dyDescent="0.25">
      <c r="A82" s="121" t="s">
        <v>246</v>
      </c>
      <c r="B82" s="139">
        <v>1800</v>
      </c>
      <c r="C82">
        <v>6</v>
      </c>
    </row>
    <row r="83" spans="1:4" ht="15" x14ac:dyDescent="0.25">
      <c r="A83" s="121" t="s">
        <v>247</v>
      </c>
      <c r="B83" s="139">
        <v>1500</v>
      </c>
      <c r="C83">
        <v>5</v>
      </c>
    </row>
    <row r="84" spans="1:4" ht="15" x14ac:dyDescent="0.25">
      <c r="A84" s="121" t="s">
        <v>248</v>
      </c>
      <c r="B84" s="139">
        <v>600</v>
      </c>
      <c r="C84">
        <v>2</v>
      </c>
    </row>
    <row r="85" spans="1:4" ht="15" x14ac:dyDescent="0.25">
      <c r="A85" s="121" t="s">
        <v>249</v>
      </c>
      <c r="B85" s="139">
        <v>1000</v>
      </c>
      <c r="C85">
        <v>3</v>
      </c>
      <c r="D85" t="s">
        <v>446</v>
      </c>
    </row>
    <row r="86" spans="1:4" ht="15" x14ac:dyDescent="0.25">
      <c r="A86" s="121" t="s">
        <v>250</v>
      </c>
      <c r="B86" s="139">
        <v>2100</v>
      </c>
      <c r="C86">
        <v>7</v>
      </c>
    </row>
    <row r="87" spans="1:4" ht="15" x14ac:dyDescent="0.25">
      <c r="A87" s="121" t="s">
        <v>405</v>
      </c>
      <c r="B87" s="139">
        <v>0</v>
      </c>
    </row>
    <row r="88" spans="1:4" ht="15" x14ac:dyDescent="0.25">
      <c r="A88" s="121" t="s">
        <v>406</v>
      </c>
      <c r="B88" s="139">
        <v>0</v>
      </c>
    </row>
    <row r="89" spans="1:4" ht="15" x14ac:dyDescent="0.25">
      <c r="A89" s="121" t="s">
        <v>251</v>
      </c>
      <c r="B89" s="139">
        <v>600</v>
      </c>
      <c r="C89">
        <v>2</v>
      </c>
    </row>
    <row r="90" spans="1:4" ht="15" x14ac:dyDescent="0.25">
      <c r="A90" s="121" t="s">
        <v>252</v>
      </c>
      <c r="B90" s="139">
        <v>2400</v>
      </c>
      <c r="C90">
        <v>8</v>
      </c>
    </row>
    <row r="91" spans="1:4" ht="15" x14ac:dyDescent="0.25">
      <c r="A91" s="121" t="s">
        <v>253</v>
      </c>
      <c r="B91" s="139">
        <v>300</v>
      </c>
    </row>
    <row r="92" spans="1:4" ht="15" x14ac:dyDescent="0.25">
      <c r="A92" s="121" t="s">
        <v>254</v>
      </c>
      <c r="B92" s="139">
        <v>300</v>
      </c>
    </row>
    <row r="93" spans="1:4" ht="15" x14ac:dyDescent="0.25">
      <c r="A93" s="121" t="s">
        <v>255</v>
      </c>
      <c r="B93" s="139">
        <v>900</v>
      </c>
      <c r="C93">
        <v>3</v>
      </c>
    </row>
    <row r="94" spans="1:4" ht="15" x14ac:dyDescent="0.25">
      <c r="A94" s="121" t="s">
        <v>256</v>
      </c>
      <c r="B94" s="139">
        <v>1500</v>
      </c>
      <c r="C94">
        <v>5</v>
      </c>
    </row>
    <row r="95" spans="1:4" ht="15" x14ac:dyDescent="0.25">
      <c r="A95" s="121" t="s">
        <v>257</v>
      </c>
      <c r="B95" s="139">
        <v>300</v>
      </c>
    </row>
    <row r="96" spans="1:4" ht="15" x14ac:dyDescent="0.25">
      <c r="A96" s="121" t="s">
        <v>258</v>
      </c>
      <c r="B96" s="139">
        <v>300</v>
      </c>
    </row>
    <row r="97" spans="1:4" ht="15" x14ac:dyDescent="0.25">
      <c r="A97" s="121" t="s">
        <v>259</v>
      </c>
      <c r="B97" s="139">
        <v>300</v>
      </c>
    </row>
    <row r="98" spans="1:4" ht="15" x14ac:dyDescent="0.25">
      <c r="A98" s="121" t="s">
        <v>256</v>
      </c>
      <c r="B98" s="139">
        <v>600</v>
      </c>
      <c r="C98">
        <v>2</v>
      </c>
      <c r="D98" t="s">
        <v>447</v>
      </c>
    </row>
    <row r="99" spans="1:4" ht="15" x14ac:dyDescent="0.25">
      <c r="A99" s="121" t="s">
        <v>260</v>
      </c>
      <c r="B99" s="139">
        <v>300</v>
      </c>
    </row>
    <row r="100" spans="1:4" ht="15" x14ac:dyDescent="0.25">
      <c r="A100" s="121" t="s">
        <v>261</v>
      </c>
      <c r="B100" s="139">
        <v>600</v>
      </c>
      <c r="C100">
        <v>2</v>
      </c>
    </row>
    <row r="101" spans="1:4" ht="15" x14ac:dyDescent="0.25">
      <c r="A101" s="121" t="s">
        <v>262</v>
      </c>
      <c r="B101" s="139">
        <v>300</v>
      </c>
    </row>
    <row r="102" spans="1:4" ht="15" x14ac:dyDescent="0.25">
      <c r="A102" s="121" t="s">
        <v>263</v>
      </c>
      <c r="B102" s="139">
        <v>2100</v>
      </c>
      <c r="C102">
        <v>7</v>
      </c>
    </row>
    <row r="103" spans="1:4" ht="15" x14ac:dyDescent="0.25">
      <c r="A103" s="121" t="s">
        <v>264</v>
      </c>
      <c r="B103" s="139">
        <v>1800</v>
      </c>
      <c r="C103">
        <v>6</v>
      </c>
    </row>
    <row r="104" spans="1:4" ht="15" x14ac:dyDescent="0.25">
      <c r="A104" s="121" t="s">
        <v>265</v>
      </c>
      <c r="B104" s="139">
        <v>600</v>
      </c>
      <c r="C104">
        <v>2</v>
      </c>
    </row>
    <row r="105" spans="1:4" ht="15" x14ac:dyDescent="0.25">
      <c r="A105" s="121" t="s">
        <v>266</v>
      </c>
      <c r="B105" s="139">
        <v>1500</v>
      </c>
      <c r="C105">
        <v>5</v>
      </c>
    </row>
    <row r="106" spans="1:4" ht="15" x14ac:dyDescent="0.25">
      <c r="A106" s="121" t="s">
        <v>267</v>
      </c>
      <c r="B106" s="139">
        <v>1200</v>
      </c>
      <c r="C106">
        <v>4</v>
      </c>
    </row>
    <row r="107" spans="1:4" ht="15" x14ac:dyDescent="0.25">
      <c r="A107" s="121" t="s">
        <v>268</v>
      </c>
      <c r="B107" s="139">
        <v>1800</v>
      </c>
      <c r="C107">
        <v>6</v>
      </c>
    </row>
    <row r="108" spans="1:4" ht="15" x14ac:dyDescent="0.25">
      <c r="A108" s="121" t="s">
        <v>269</v>
      </c>
      <c r="B108" s="139">
        <v>1200</v>
      </c>
      <c r="C108">
        <v>4</v>
      </c>
    </row>
    <row r="109" spans="1:4" ht="15" x14ac:dyDescent="0.25">
      <c r="A109" s="121" t="s">
        <v>270</v>
      </c>
      <c r="B109" s="139">
        <v>1200</v>
      </c>
      <c r="C109">
        <v>4</v>
      </c>
    </row>
    <row r="110" spans="1:4" ht="15" x14ac:dyDescent="0.25">
      <c r="A110" s="121" t="s">
        <v>271</v>
      </c>
      <c r="B110" s="139">
        <v>300</v>
      </c>
    </row>
    <row r="111" spans="1:4" ht="15" x14ac:dyDescent="0.25">
      <c r="A111" s="121" t="s">
        <v>272</v>
      </c>
      <c r="B111" s="139">
        <v>600</v>
      </c>
      <c r="C111">
        <v>2</v>
      </c>
    </row>
    <row r="112" spans="1:4" ht="15" x14ac:dyDescent="0.25">
      <c r="A112" s="121" t="s">
        <v>273</v>
      </c>
      <c r="B112" s="139">
        <v>900</v>
      </c>
      <c r="C112">
        <v>3</v>
      </c>
    </row>
    <row r="113" spans="1:5" ht="15" x14ac:dyDescent="0.25">
      <c r="A113" s="121" t="s">
        <v>274</v>
      </c>
      <c r="B113" s="139">
        <v>2000</v>
      </c>
      <c r="C113">
        <v>5</v>
      </c>
      <c r="D113">
        <v>500</v>
      </c>
      <c r="E113" t="s">
        <v>448</v>
      </c>
    </row>
    <row r="114" spans="1:5" ht="15" x14ac:dyDescent="0.25">
      <c r="A114" s="121" t="s">
        <v>275</v>
      </c>
      <c r="B114" s="139">
        <v>600</v>
      </c>
      <c r="C114">
        <v>2</v>
      </c>
    </row>
    <row r="115" spans="1:5" ht="15" x14ac:dyDescent="0.25">
      <c r="A115" s="121" t="s">
        <v>276</v>
      </c>
      <c r="B115" s="139">
        <v>1800</v>
      </c>
      <c r="C115">
        <v>6</v>
      </c>
    </row>
    <row r="116" spans="1:5" ht="15" x14ac:dyDescent="0.25">
      <c r="A116" s="121" t="s">
        <v>277</v>
      </c>
      <c r="B116" s="139">
        <v>900</v>
      </c>
      <c r="C116">
        <v>3</v>
      </c>
    </row>
    <row r="117" spans="1:5" ht="15" x14ac:dyDescent="0.25">
      <c r="A117" s="121" t="s">
        <v>278</v>
      </c>
      <c r="B117" s="139">
        <v>900</v>
      </c>
      <c r="C117">
        <v>3</v>
      </c>
    </row>
    <row r="118" spans="1:5" ht="15" x14ac:dyDescent="0.25">
      <c r="A118" s="121" t="s">
        <v>279</v>
      </c>
      <c r="B118" s="139">
        <v>4800</v>
      </c>
      <c r="C118">
        <v>16</v>
      </c>
    </row>
    <row r="119" spans="1:5" ht="15" x14ac:dyDescent="0.25">
      <c r="A119" s="121" t="s">
        <v>407</v>
      </c>
      <c r="B119" s="139">
        <v>0</v>
      </c>
    </row>
    <row r="120" spans="1:5" ht="15" x14ac:dyDescent="0.25">
      <c r="A120" s="121" t="s">
        <v>408</v>
      </c>
      <c r="B120" s="139">
        <v>0</v>
      </c>
    </row>
    <row r="121" spans="1:5" ht="15" x14ac:dyDescent="0.25">
      <c r="A121" s="121" t="s">
        <v>409</v>
      </c>
      <c r="B121" s="139">
        <v>0</v>
      </c>
    </row>
    <row r="122" spans="1:5" ht="15" x14ac:dyDescent="0.25">
      <c r="A122" s="121" t="s">
        <v>280</v>
      </c>
      <c r="B122" s="139">
        <v>3600</v>
      </c>
      <c r="C122">
        <v>12</v>
      </c>
    </row>
    <row r="123" spans="1:5" ht="15" x14ac:dyDescent="0.25">
      <c r="A123" s="121" t="s">
        <v>410</v>
      </c>
      <c r="B123" s="139">
        <v>0</v>
      </c>
    </row>
    <row r="124" spans="1:5" ht="15" x14ac:dyDescent="0.25">
      <c r="A124" s="121" t="s">
        <v>229</v>
      </c>
      <c r="B124" s="139">
        <v>0</v>
      </c>
    </row>
    <row r="125" spans="1:5" ht="15" x14ac:dyDescent="0.25">
      <c r="A125" s="121" t="s">
        <v>411</v>
      </c>
      <c r="B125" s="139">
        <v>0</v>
      </c>
    </row>
    <row r="126" spans="1:5" ht="15" x14ac:dyDescent="0.25">
      <c r="A126" s="121" t="s">
        <v>281</v>
      </c>
      <c r="B126" s="139">
        <v>600</v>
      </c>
      <c r="C126">
        <v>2</v>
      </c>
    </row>
    <row r="127" spans="1:5" ht="15" x14ac:dyDescent="0.25">
      <c r="A127" s="121" t="s">
        <v>412</v>
      </c>
      <c r="B127" s="139">
        <v>0</v>
      </c>
    </row>
    <row r="128" spans="1:5" ht="15" x14ac:dyDescent="0.25">
      <c r="A128" s="121" t="s">
        <v>412</v>
      </c>
      <c r="B128" s="139">
        <v>0</v>
      </c>
    </row>
    <row r="129" spans="1:3" ht="15" x14ac:dyDescent="0.25">
      <c r="A129" s="121" t="s">
        <v>210</v>
      </c>
      <c r="B129" s="139">
        <v>600</v>
      </c>
      <c r="C129">
        <v>2</v>
      </c>
    </row>
    <row r="130" spans="1:3" ht="15" x14ac:dyDescent="0.25">
      <c r="A130" s="121" t="s">
        <v>413</v>
      </c>
      <c r="B130" s="139">
        <v>0</v>
      </c>
    </row>
    <row r="131" spans="1:3" ht="15" x14ac:dyDescent="0.25">
      <c r="A131" s="121" t="s">
        <v>282</v>
      </c>
      <c r="B131" s="139">
        <v>2100</v>
      </c>
      <c r="C131">
        <v>7</v>
      </c>
    </row>
    <row r="132" spans="1:3" ht="15" x14ac:dyDescent="0.25">
      <c r="A132" s="121" t="s">
        <v>414</v>
      </c>
      <c r="B132" s="139">
        <v>0</v>
      </c>
    </row>
    <row r="133" spans="1:3" ht="15" x14ac:dyDescent="0.25">
      <c r="A133" s="121" t="s">
        <v>414</v>
      </c>
      <c r="B133" s="139">
        <v>0</v>
      </c>
    </row>
    <row r="134" spans="1:3" ht="15" x14ac:dyDescent="0.25">
      <c r="A134" s="121" t="s">
        <v>283</v>
      </c>
      <c r="B134" s="139">
        <v>300</v>
      </c>
    </row>
    <row r="135" spans="1:3" ht="15" x14ac:dyDescent="0.25">
      <c r="A135" s="121" t="s">
        <v>284</v>
      </c>
      <c r="B135" s="139">
        <v>300</v>
      </c>
    </row>
    <row r="136" spans="1:3" ht="15" x14ac:dyDescent="0.25">
      <c r="A136" s="121" t="s">
        <v>203</v>
      </c>
      <c r="B136" s="139">
        <v>300</v>
      </c>
    </row>
    <row r="137" spans="1:3" ht="15" x14ac:dyDescent="0.25">
      <c r="A137" s="121" t="s">
        <v>415</v>
      </c>
      <c r="B137" s="139">
        <v>0</v>
      </c>
    </row>
    <row r="138" spans="1:3" ht="15" x14ac:dyDescent="0.25">
      <c r="A138" s="121" t="s">
        <v>415</v>
      </c>
      <c r="B138" s="139">
        <v>0</v>
      </c>
    </row>
    <row r="139" spans="1:3" ht="15" x14ac:dyDescent="0.25">
      <c r="A139" s="121" t="s">
        <v>285</v>
      </c>
      <c r="B139" s="139">
        <v>2400</v>
      </c>
      <c r="C139">
        <v>8</v>
      </c>
    </row>
    <row r="140" spans="1:3" ht="15" x14ac:dyDescent="0.25">
      <c r="A140" s="121" t="s">
        <v>258</v>
      </c>
      <c r="B140" s="139">
        <v>300</v>
      </c>
    </row>
    <row r="141" spans="1:3" ht="15" x14ac:dyDescent="0.25">
      <c r="A141" s="121" t="s">
        <v>286</v>
      </c>
      <c r="B141" s="139">
        <v>1200</v>
      </c>
      <c r="C141">
        <v>4</v>
      </c>
    </row>
    <row r="142" spans="1:3" ht="15" x14ac:dyDescent="0.25">
      <c r="A142" s="121" t="s">
        <v>208</v>
      </c>
      <c r="B142" s="139">
        <v>300</v>
      </c>
      <c r="C142" t="s">
        <v>449</v>
      </c>
    </row>
    <row r="143" spans="1:3" ht="15" x14ac:dyDescent="0.25">
      <c r="A143" s="121" t="s">
        <v>287</v>
      </c>
      <c r="B143" s="139">
        <v>600</v>
      </c>
      <c r="C143">
        <v>2</v>
      </c>
    </row>
    <row r="144" spans="1:3" ht="15" x14ac:dyDescent="0.25">
      <c r="A144" s="121" t="s">
        <v>288</v>
      </c>
      <c r="B144" s="139">
        <v>3300</v>
      </c>
      <c r="C144">
        <v>11</v>
      </c>
    </row>
    <row r="145" spans="1:3" ht="15" x14ac:dyDescent="0.25">
      <c r="A145" s="121" t="s">
        <v>416</v>
      </c>
      <c r="B145" s="139">
        <v>0</v>
      </c>
    </row>
    <row r="146" spans="1:3" ht="15" x14ac:dyDescent="0.25">
      <c r="A146" s="121" t="s">
        <v>416</v>
      </c>
      <c r="B146" s="139">
        <v>0</v>
      </c>
    </row>
    <row r="147" spans="1:3" ht="15" x14ac:dyDescent="0.25">
      <c r="A147" s="121" t="s">
        <v>289</v>
      </c>
      <c r="B147" s="139">
        <v>600</v>
      </c>
      <c r="C147">
        <v>2</v>
      </c>
    </row>
    <row r="148" spans="1:3" ht="15" x14ac:dyDescent="0.25">
      <c r="A148" s="121" t="s">
        <v>290</v>
      </c>
      <c r="B148" s="139">
        <v>1800</v>
      </c>
      <c r="C148">
        <v>6</v>
      </c>
    </row>
    <row r="149" spans="1:3" ht="15" x14ac:dyDescent="0.25">
      <c r="A149" s="121" t="s">
        <v>417</v>
      </c>
      <c r="B149" s="139">
        <v>0</v>
      </c>
    </row>
    <row r="150" spans="1:3" ht="15" x14ac:dyDescent="0.25">
      <c r="A150" s="121" t="s">
        <v>291</v>
      </c>
      <c r="B150" s="139">
        <v>1200</v>
      </c>
      <c r="C150">
        <v>4</v>
      </c>
    </row>
    <row r="151" spans="1:3" ht="15" x14ac:dyDescent="0.25">
      <c r="A151" s="121" t="s">
        <v>266</v>
      </c>
      <c r="B151" s="139">
        <v>300</v>
      </c>
    </row>
    <row r="152" spans="1:3" ht="15" x14ac:dyDescent="0.25">
      <c r="A152" s="121" t="s">
        <v>292</v>
      </c>
      <c r="B152" s="139">
        <v>300</v>
      </c>
    </row>
    <row r="153" spans="1:3" ht="15" x14ac:dyDescent="0.25">
      <c r="A153" s="121" t="s">
        <v>229</v>
      </c>
      <c r="B153" s="139">
        <v>0</v>
      </c>
    </row>
    <row r="154" spans="1:3" ht="15" x14ac:dyDescent="0.25">
      <c r="A154" s="121" t="s">
        <v>293</v>
      </c>
      <c r="B154" s="139">
        <v>300</v>
      </c>
    </row>
    <row r="155" spans="1:3" ht="15" x14ac:dyDescent="0.25">
      <c r="A155" s="121" t="s">
        <v>294</v>
      </c>
      <c r="B155" s="139">
        <v>600</v>
      </c>
      <c r="C155">
        <v>2</v>
      </c>
    </row>
    <row r="156" spans="1:3" ht="15" x14ac:dyDescent="0.25">
      <c r="A156" s="121" t="s">
        <v>294</v>
      </c>
      <c r="B156" s="139">
        <v>300</v>
      </c>
    </row>
    <row r="157" spans="1:3" ht="15" x14ac:dyDescent="0.25">
      <c r="A157" s="121" t="s">
        <v>295</v>
      </c>
      <c r="B157" s="139">
        <v>300</v>
      </c>
    </row>
    <row r="158" spans="1:3" ht="15" x14ac:dyDescent="0.25">
      <c r="A158" s="121" t="s">
        <v>418</v>
      </c>
      <c r="B158" s="139">
        <v>0</v>
      </c>
    </row>
    <row r="159" spans="1:3" ht="15" x14ac:dyDescent="0.25">
      <c r="A159" s="121" t="s">
        <v>296</v>
      </c>
      <c r="B159" s="139">
        <v>2400</v>
      </c>
      <c r="C159">
        <v>8</v>
      </c>
    </row>
    <row r="160" spans="1:3" ht="15" x14ac:dyDescent="0.25">
      <c r="A160" s="121" t="s">
        <v>417</v>
      </c>
      <c r="B160" s="139">
        <v>0</v>
      </c>
    </row>
    <row r="161" spans="1:7" ht="15" x14ac:dyDescent="0.25">
      <c r="A161" s="121" t="s">
        <v>406</v>
      </c>
      <c r="B161" s="139">
        <v>0</v>
      </c>
    </row>
    <row r="162" spans="1:7" ht="15" x14ac:dyDescent="0.25">
      <c r="A162" s="121" t="s">
        <v>297</v>
      </c>
      <c r="B162" s="139">
        <v>1000</v>
      </c>
      <c r="C162">
        <v>3</v>
      </c>
      <c r="D162" t="s">
        <v>450</v>
      </c>
    </row>
    <row r="163" spans="1:7" ht="15" x14ac:dyDescent="0.25">
      <c r="A163" s="121" t="s">
        <v>419</v>
      </c>
      <c r="B163" s="139">
        <v>0</v>
      </c>
    </row>
    <row r="164" spans="1:7" ht="15" x14ac:dyDescent="0.25">
      <c r="A164" s="121" t="s">
        <v>420</v>
      </c>
      <c r="B164" s="139">
        <v>0</v>
      </c>
    </row>
    <row r="165" spans="1:7" ht="15" x14ac:dyDescent="0.25">
      <c r="A165" s="121" t="s">
        <v>202</v>
      </c>
      <c r="B165" s="139">
        <v>550</v>
      </c>
      <c r="C165" t="s">
        <v>466</v>
      </c>
    </row>
    <row r="166" spans="1:7" ht="15" x14ac:dyDescent="0.25">
      <c r="A166" s="121" t="s">
        <v>421</v>
      </c>
      <c r="B166" s="139">
        <v>0</v>
      </c>
    </row>
    <row r="167" spans="1:7" ht="15" x14ac:dyDescent="0.25">
      <c r="A167" s="121" t="s">
        <v>422</v>
      </c>
      <c r="B167" s="139">
        <v>0</v>
      </c>
    </row>
    <row r="168" spans="1:7" ht="15" x14ac:dyDescent="0.25">
      <c r="A168" s="121" t="s">
        <v>423</v>
      </c>
      <c r="B168" s="139">
        <v>0</v>
      </c>
    </row>
    <row r="169" spans="1:7" ht="15" x14ac:dyDescent="0.25">
      <c r="A169" s="121" t="s">
        <v>422</v>
      </c>
      <c r="B169" s="139">
        <v>0</v>
      </c>
    </row>
    <row r="170" spans="1:7" ht="15" x14ac:dyDescent="0.25">
      <c r="A170" s="121" t="s">
        <v>422</v>
      </c>
      <c r="B170" s="139">
        <v>0</v>
      </c>
    </row>
    <row r="171" spans="1:7" ht="15" x14ac:dyDescent="0.25">
      <c r="A171" s="121" t="s">
        <v>422</v>
      </c>
      <c r="B171" s="139">
        <v>0</v>
      </c>
    </row>
    <row r="172" spans="1:7" ht="15" x14ac:dyDescent="0.25">
      <c r="A172" s="121" t="s">
        <v>424</v>
      </c>
      <c r="B172" s="139">
        <v>90</v>
      </c>
      <c r="C172" t="s">
        <v>430</v>
      </c>
    </row>
    <row r="173" spans="1:7" ht="15" x14ac:dyDescent="0.25">
      <c r="A173" s="121" t="s">
        <v>229</v>
      </c>
      <c r="B173" s="139">
        <v>0</v>
      </c>
    </row>
    <row r="174" spans="1:7" ht="15" x14ac:dyDescent="0.25">
      <c r="A174" s="121" t="s">
        <v>298</v>
      </c>
      <c r="B174" s="139">
        <v>8700</v>
      </c>
      <c r="C174" s="174" t="s">
        <v>429</v>
      </c>
      <c r="D174" s="174"/>
      <c r="E174" s="174"/>
      <c r="F174" s="174"/>
      <c r="G174" s="175"/>
    </row>
    <row r="175" spans="1:7" ht="15" x14ac:dyDescent="0.25">
      <c r="A175" s="121" t="s">
        <v>229</v>
      </c>
      <c r="B175" s="139">
        <v>3324</v>
      </c>
      <c r="C175" t="s">
        <v>467</v>
      </c>
    </row>
    <row r="176" spans="1:7" ht="15" x14ac:dyDescent="0.25">
      <c r="A176" s="121" t="s">
        <v>229</v>
      </c>
      <c r="B176" s="139">
        <v>7126</v>
      </c>
      <c r="C176" t="s">
        <v>469</v>
      </c>
    </row>
    <row r="177" spans="1:4" ht="15" x14ac:dyDescent="0.25">
      <c r="A177" s="121" t="s">
        <v>468</v>
      </c>
      <c r="B177" s="141">
        <v>314256</v>
      </c>
      <c r="C177" s="136" t="s">
        <v>425</v>
      </c>
    </row>
    <row r="181" spans="1:4" x14ac:dyDescent="0.2">
      <c r="B181" s="173" t="s">
        <v>426</v>
      </c>
      <c r="C181" s="173"/>
    </row>
    <row r="182" spans="1:4" x14ac:dyDescent="0.2">
      <c r="B182" s="114">
        <v>800</v>
      </c>
      <c r="C182" s="114" t="s">
        <v>452</v>
      </c>
    </row>
    <row r="183" spans="1:4" x14ac:dyDescent="0.2">
      <c r="B183" s="114">
        <v>600</v>
      </c>
      <c r="C183" s="114" t="s">
        <v>453</v>
      </c>
    </row>
    <row r="184" spans="1:4" x14ac:dyDescent="0.2">
      <c r="B184" s="145" t="s">
        <v>451</v>
      </c>
      <c r="C184" s="144"/>
      <c r="D184" s="144"/>
    </row>
  </sheetData>
  <sheetProtection algorithmName="SHA-512" hashValue="e3Wj6wHyh+Io19RYfwLfppkSOyOoHZhvpVpP6fk6XzqFN0LMcBvamNq0+wPvN7a1PyKYXXhzuAM+4NS2b6/ykA==" saltValue="XeOEDhe9lwbmS3hOCNn8TQ==" spinCount="100000" sheet="1" formatCells="0" formatColumns="0" formatRows="0" insertColumns="0" insertRows="0" insertHyperlinks="0" deleteColumns="0" deleteRows="0" sort="0" autoFilter="0" pivotTables="0"/>
  <autoFilter ref="A2:B2" xr:uid="{4781FFF1-238F-45AD-B78F-526DE533893A}"/>
  <mergeCells count="2">
    <mergeCell ref="B181:C181"/>
    <mergeCell ref="C174:G17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ADA8-894D-4617-B212-436C6B6C8CED}">
  <dimension ref="A1:E46"/>
  <sheetViews>
    <sheetView rightToLeft="1" tabSelected="1" topLeftCell="B39" workbookViewId="0">
      <selection activeCell="D46" sqref="D46"/>
    </sheetView>
  </sheetViews>
  <sheetFormatPr defaultRowHeight="14.25" x14ac:dyDescent="0.2"/>
  <cols>
    <col min="1" max="1" width="53.5" customWidth="1"/>
    <col min="2" max="2" width="26.5" bestFit="1" customWidth="1"/>
    <col min="3" max="3" width="18.875" customWidth="1"/>
    <col min="4" max="4" width="76.625" bestFit="1" customWidth="1"/>
    <col min="5" max="5" width="8.25" customWidth="1"/>
    <col min="9" max="9" width="8.375" bestFit="1" customWidth="1"/>
    <col min="10" max="10" width="8.875" bestFit="1" customWidth="1"/>
    <col min="11" max="11" width="9.875" bestFit="1" customWidth="1"/>
    <col min="12" max="12" width="9.625" bestFit="1" customWidth="1"/>
  </cols>
  <sheetData>
    <row r="1" spans="1:4" ht="21.95" customHeight="1" thickBot="1" x14ac:dyDescent="0.25">
      <c r="A1" s="103" t="s">
        <v>300</v>
      </c>
      <c r="B1" s="103" t="s">
        <v>301</v>
      </c>
      <c r="C1" s="103" t="s">
        <v>299</v>
      </c>
    </row>
    <row r="2" spans="1:4" ht="15" thickBot="1" x14ac:dyDescent="0.25">
      <c r="A2" s="129" t="s">
        <v>371</v>
      </c>
      <c r="B2" s="129" t="s">
        <v>372</v>
      </c>
      <c r="C2" s="129" t="s">
        <v>299</v>
      </c>
    </row>
    <row r="3" spans="1:4" ht="16.5" thickTop="1" thickBot="1" x14ac:dyDescent="0.25">
      <c r="A3" s="122" t="s">
        <v>373</v>
      </c>
      <c r="B3" s="130" t="s">
        <v>36</v>
      </c>
      <c r="C3" s="123">
        <v>2000</v>
      </c>
    </row>
    <row r="4" spans="1:4" ht="16.5" thickTop="1" thickBot="1" x14ac:dyDescent="0.25">
      <c r="A4" s="122" t="s">
        <v>374</v>
      </c>
      <c r="B4" s="130" t="s">
        <v>40</v>
      </c>
      <c r="C4" s="123">
        <v>1560</v>
      </c>
      <c r="D4" t="s">
        <v>456</v>
      </c>
    </row>
    <row r="5" spans="1:4" ht="16.5" thickTop="1" thickBot="1" x14ac:dyDescent="0.25">
      <c r="A5" s="122" t="s">
        <v>375</v>
      </c>
      <c r="B5" s="130" t="s">
        <v>40</v>
      </c>
      <c r="C5" s="123">
        <v>800</v>
      </c>
    </row>
    <row r="6" spans="1:4" ht="16.5" thickTop="1" thickBot="1" x14ac:dyDescent="0.25">
      <c r="A6" s="122" t="s">
        <v>376</v>
      </c>
      <c r="B6" s="130" t="s">
        <v>40</v>
      </c>
      <c r="C6" s="123">
        <v>150</v>
      </c>
    </row>
    <row r="7" spans="1:4" ht="16.5" thickTop="1" thickBot="1" x14ac:dyDescent="0.25">
      <c r="A7" s="122" t="s">
        <v>377</v>
      </c>
      <c r="B7" s="130" t="s">
        <v>349</v>
      </c>
      <c r="C7" s="123">
        <v>14000</v>
      </c>
    </row>
    <row r="8" spans="1:4" ht="16.5" thickTop="1" thickBot="1" x14ac:dyDescent="0.25">
      <c r="A8" s="122" t="s">
        <v>378</v>
      </c>
      <c r="B8" s="130" t="s">
        <v>348</v>
      </c>
      <c r="C8" s="123">
        <v>8825</v>
      </c>
    </row>
    <row r="9" spans="1:4" ht="16.5" thickTop="1" thickBot="1" x14ac:dyDescent="0.25">
      <c r="A9" s="122" t="s">
        <v>379</v>
      </c>
      <c r="B9" s="130" t="s">
        <v>346</v>
      </c>
      <c r="C9" s="123">
        <v>1200</v>
      </c>
    </row>
    <row r="10" spans="1:4" ht="16.5" thickTop="1" thickBot="1" x14ac:dyDescent="0.25">
      <c r="A10" s="122" t="s">
        <v>380</v>
      </c>
      <c r="B10" s="130" t="s">
        <v>331</v>
      </c>
      <c r="C10" s="123">
        <v>1174</v>
      </c>
    </row>
    <row r="11" spans="1:4" ht="16.5" thickTop="1" thickBot="1" x14ac:dyDescent="0.25">
      <c r="A11" s="122" t="s">
        <v>381</v>
      </c>
      <c r="B11" s="130" t="s">
        <v>42</v>
      </c>
      <c r="C11" s="123">
        <v>1920</v>
      </c>
    </row>
    <row r="12" spans="1:4" ht="16.5" thickTop="1" thickBot="1" x14ac:dyDescent="0.25">
      <c r="A12" s="122" t="s">
        <v>382</v>
      </c>
      <c r="B12" s="130" t="s">
        <v>44</v>
      </c>
      <c r="C12" s="123">
        <v>8000</v>
      </c>
    </row>
    <row r="13" spans="1:4" ht="16.5" thickTop="1" thickBot="1" x14ac:dyDescent="0.25">
      <c r="A13" s="122" t="s">
        <v>383</v>
      </c>
      <c r="B13" s="130" t="s">
        <v>42</v>
      </c>
      <c r="C13" s="123">
        <v>4870</v>
      </c>
    </row>
    <row r="14" spans="1:4" ht="16.5" thickTop="1" thickBot="1" x14ac:dyDescent="0.25">
      <c r="A14" s="122" t="s">
        <v>384</v>
      </c>
      <c r="B14" s="130" t="s">
        <v>48</v>
      </c>
      <c r="C14" s="123">
        <v>27000</v>
      </c>
    </row>
    <row r="15" spans="1:4" ht="16.5" thickTop="1" thickBot="1" x14ac:dyDescent="0.25">
      <c r="A15" s="122" t="s">
        <v>385</v>
      </c>
      <c r="B15" s="130" t="s">
        <v>50</v>
      </c>
      <c r="C15" s="123">
        <v>22500</v>
      </c>
    </row>
    <row r="16" spans="1:4" ht="16.5" thickTop="1" thickBot="1" x14ac:dyDescent="0.25">
      <c r="A16" s="122" t="s">
        <v>386</v>
      </c>
      <c r="B16" s="130" t="s">
        <v>45</v>
      </c>
      <c r="C16" s="123">
        <v>2000</v>
      </c>
    </row>
    <row r="17" spans="1:4" ht="16.5" thickTop="1" thickBot="1" x14ac:dyDescent="0.25">
      <c r="A17" s="124" t="s">
        <v>387</v>
      </c>
      <c r="B17" s="131" t="s">
        <v>27</v>
      </c>
      <c r="C17" s="125">
        <v>10000</v>
      </c>
      <c r="D17" t="s">
        <v>454</v>
      </c>
    </row>
    <row r="18" spans="1:4" ht="16.5" thickTop="1" thickBot="1" x14ac:dyDescent="0.25">
      <c r="A18" s="124" t="s">
        <v>388</v>
      </c>
      <c r="B18" s="131" t="s">
        <v>29</v>
      </c>
      <c r="C18" s="125">
        <v>26000</v>
      </c>
    </row>
    <row r="19" spans="1:4" ht="16.5" thickTop="1" thickBot="1" x14ac:dyDescent="0.25">
      <c r="A19" s="124" t="s">
        <v>389</v>
      </c>
      <c r="B19" s="131" t="s">
        <v>32</v>
      </c>
      <c r="C19" s="125">
        <v>500</v>
      </c>
    </row>
    <row r="20" spans="1:4" ht="31.5" thickTop="1" thickBot="1" x14ac:dyDescent="0.25">
      <c r="A20" s="124" t="s">
        <v>390</v>
      </c>
      <c r="B20" s="131" t="s">
        <v>345</v>
      </c>
      <c r="C20" s="125">
        <v>30000</v>
      </c>
      <c r="D20" t="s">
        <v>455</v>
      </c>
    </row>
    <row r="21" spans="1:4" ht="16.5" thickTop="1" thickBot="1" x14ac:dyDescent="0.25">
      <c r="A21" s="124" t="s">
        <v>391</v>
      </c>
      <c r="B21" s="131" t="s">
        <v>322</v>
      </c>
      <c r="C21" s="125">
        <v>2000</v>
      </c>
    </row>
    <row r="22" spans="1:4" ht="16.5" thickTop="1" thickBot="1" x14ac:dyDescent="0.25">
      <c r="A22" s="124" t="s">
        <v>392</v>
      </c>
      <c r="B22" s="131" t="s">
        <v>165</v>
      </c>
      <c r="C22" s="125">
        <v>2000</v>
      </c>
    </row>
    <row r="23" spans="1:4" ht="16.5" thickTop="1" thickBot="1" x14ac:dyDescent="0.25">
      <c r="A23" s="124" t="s">
        <v>393</v>
      </c>
      <c r="B23" s="131" t="s">
        <v>166</v>
      </c>
      <c r="C23" s="125">
        <v>2000</v>
      </c>
    </row>
    <row r="24" spans="1:4" ht="16.5" thickTop="1" thickBot="1" x14ac:dyDescent="0.25">
      <c r="A24" s="124" t="s">
        <v>394</v>
      </c>
      <c r="B24" s="131" t="s">
        <v>167</v>
      </c>
      <c r="C24" s="125">
        <v>5000</v>
      </c>
    </row>
    <row r="25" spans="1:4" ht="16.5" thickTop="1" thickBot="1" x14ac:dyDescent="0.25">
      <c r="A25" s="124" t="s">
        <v>395</v>
      </c>
      <c r="B25" s="131" t="s">
        <v>176</v>
      </c>
      <c r="C25" s="125">
        <v>500</v>
      </c>
    </row>
    <row r="26" spans="1:4" ht="16.5" thickTop="1" thickBot="1" x14ac:dyDescent="0.25">
      <c r="A26" s="124" t="s">
        <v>396</v>
      </c>
      <c r="B26" s="131" t="s">
        <v>368</v>
      </c>
      <c r="C26" s="125">
        <v>2000</v>
      </c>
    </row>
    <row r="27" spans="1:4" ht="31.5" thickTop="1" thickBot="1" x14ac:dyDescent="0.25">
      <c r="A27" s="124" t="s">
        <v>397</v>
      </c>
      <c r="B27" s="132" t="s">
        <v>343</v>
      </c>
      <c r="C27" s="125">
        <v>2500</v>
      </c>
    </row>
    <row r="28" spans="1:4" ht="16.5" thickTop="1" thickBot="1" x14ac:dyDescent="0.25">
      <c r="A28" s="126" t="s">
        <v>398</v>
      </c>
      <c r="B28" s="133" t="s">
        <v>13</v>
      </c>
      <c r="C28" s="127">
        <v>18000</v>
      </c>
    </row>
    <row r="29" spans="1:4" ht="16.5" thickTop="1" thickBot="1" x14ac:dyDescent="0.25">
      <c r="A29" s="122" t="s">
        <v>399</v>
      </c>
      <c r="B29" s="130" t="s">
        <v>17</v>
      </c>
      <c r="C29" s="123">
        <v>10860</v>
      </c>
    </row>
    <row r="30" spans="1:4" ht="16.5" thickTop="1" thickBot="1" x14ac:dyDescent="0.25">
      <c r="A30" s="122" t="s">
        <v>400</v>
      </c>
      <c r="B30" s="130" t="s">
        <v>20</v>
      </c>
      <c r="C30" s="123">
        <v>80000</v>
      </c>
    </row>
    <row r="31" spans="1:4" ht="16.5" thickTop="1" thickBot="1" x14ac:dyDescent="0.25">
      <c r="A31" s="122" t="s">
        <v>401</v>
      </c>
      <c r="B31" s="130" t="s">
        <v>21</v>
      </c>
      <c r="C31" s="123">
        <v>6118</v>
      </c>
    </row>
    <row r="32" spans="1:4" ht="16.5" thickTop="1" thickBot="1" x14ac:dyDescent="0.25">
      <c r="A32" s="122" t="s">
        <v>402</v>
      </c>
      <c r="B32" s="134" t="s">
        <v>460</v>
      </c>
      <c r="C32" s="123">
        <v>238</v>
      </c>
    </row>
    <row r="33" spans="1:5" ht="16.5" thickTop="1" thickBot="1" x14ac:dyDescent="0.25">
      <c r="A33" s="122" t="s">
        <v>403</v>
      </c>
      <c r="B33" s="134" t="s">
        <v>311</v>
      </c>
      <c r="C33" s="128">
        <v>600</v>
      </c>
    </row>
    <row r="34" spans="1:5" ht="15.75" thickTop="1" x14ac:dyDescent="0.2">
      <c r="A34" s="122" t="s">
        <v>404</v>
      </c>
      <c r="B34" s="134" t="s">
        <v>309</v>
      </c>
      <c r="C34" s="128">
        <v>738</v>
      </c>
      <c r="E34" s="107"/>
    </row>
    <row r="35" spans="1:5" ht="15" x14ac:dyDescent="0.2">
      <c r="A35" s="137" t="s">
        <v>427</v>
      </c>
      <c r="B35" s="138" t="s">
        <v>427</v>
      </c>
      <c r="C35" s="135">
        <v>50</v>
      </c>
      <c r="E35" s="107"/>
    </row>
    <row r="36" spans="1:5" ht="15" x14ac:dyDescent="0.2">
      <c r="B36" s="142" t="s">
        <v>51</v>
      </c>
      <c r="C36" s="143">
        <v>295103</v>
      </c>
      <c r="D36" s="107" t="s">
        <v>306</v>
      </c>
      <c r="E36" s="107"/>
    </row>
    <row r="37" spans="1:5" x14ac:dyDescent="0.2">
      <c r="D37" s="107" t="s">
        <v>307</v>
      </c>
      <c r="E37" s="107" t="s">
        <v>299</v>
      </c>
    </row>
    <row r="38" spans="1:5" ht="15" x14ac:dyDescent="0.25">
      <c r="A38" s="137" t="s">
        <v>428</v>
      </c>
      <c r="B38" s="138" t="s">
        <v>370</v>
      </c>
      <c r="D38" s="105" t="s">
        <v>302</v>
      </c>
      <c r="E38" s="106">
        <v>-2393.75</v>
      </c>
    </row>
    <row r="39" spans="1:5" ht="15" x14ac:dyDescent="0.25">
      <c r="A39" s="137" t="s">
        <v>457</v>
      </c>
      <c r="D39" s="105" t="s">
        <v>189</v>
      </c>
      <c r="E39" s="106">
        <v>-2393.75</v>
      </c>
    </row>
    <row r="40" spans="1:5" ht="15" x14ac:dyDescent="0.25">
      <c r="D40" s="105" t="s">
        <v>270</v>
      </c>
      <c r="E40" s="106">
        <v>-2393.75</v>
      </c>
    </row>
    <row r="41" spans="1:5" ht="15" x14ac:dyDescent="0.25">
      <c r="A41" t="s">
        <v>458</v>
      </c>
      <c r="D41" s="105" t="s">
        <v>303</v>
      </c>
      <c r="E41" s="106">
        <v>-2393.75</v>
      </c>
    </row>
    <row r="42" spans="1:5" ht="15" x14ac:dyDescent="0.25">
      <c r="A42" t="s">
        <v>459</v>
      </c>
      <c r="D42" s="105" t="s">
        <v>304</v>
      </c>
      <c r="E42" s="106">
        <v>-2393.75</v>
      </c>
    </row>
    <row r="43" spans="1:5" ht="15" x14ac:dyDescent="0.25">
      <c r="D43" s="105" t="s">
        <v>222</v>
      </c>
      <c r="E43" s="106">
        <v>-2393.75</v>
      </c>
    </row>
    <row r="44" spans="1:5" ht="15" x14ac:dyDescent="0.25">
      <c r="A44" t="s">
        <v>471</v>
      </c>
      <c r="D44" s="105" t="s">
        <v>190</v>
      </c>
      <c r="E44" s="106">
        <v>-2393.75</v>
      </c>
    </row>
    <row r="45" spans="1:5" ht="15" x14ac:dyDescent="0.25">
      <c r="D45" s="105" t="s">
        <v>305</v>
      </c>
      <c r="E45" s="106">
        <v>-2393.75</v>
      </c>
    </row>
    <row r="46" spans="1:5" x14ac:dyDescent="0.2">
      <c r="D46" s="104"/>
    </row>
  </sheetData>
  <sheetProtection algorithmName="SHA-512" hashValue="nrhdy3hzVnbQjciaR6S4NI1LtwqK7lJLoop73C8DSZzMrEKNM98o+RQJ2klq6CcsN/sznUKZ0Y5A3J7abdhHEQ==" saltValue="9JfXXebTqiwHBRGrss6qBg==" spinCount="100000" sheet="1" formatCells="0" formatColumns="0" formatRows="0" insertColumns="0" insertRows="0" insertHyperlinks="0" deleteColumns="0" deleteRows="0" sort="0" autoFilter="0" pivotTables="0"/>
  <autoFilter ref="A1:D45" xr:uid="{2E54ADA8-894D-4617-B212-436C6B6C8CED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13C9-4DFA-4C53-8CAB-02AF4B79B334}">
  <dimension ref="A3:G14"/>
  <sheetViews>
    <sheetView rightToLeft="1" workbookViewId="0">
      <selection activeCell="F15" sqref="F15"/>
    </sheetView>
  </sheetViews>
  <sheetFormatPr defaultRowHeight="14.25" x14ac:dyDescent="0.2"/>
  <cols>
    <col min="1" max="1" width="11" customWidth="1"/>
    <col min="2" max="3" width="10.75" customWidth="1"/>
    <col min="4" max="4" width="11" customWidth="1"/>
    <col min="5" max="5" width="12.25" customWidth="1"/>
    <col min="6" max="6" width="10.875" customWidth="1"/>
    <col min="7" max="7" width="11.125" customWidth="1"/>
  </cols>
  <sheetData>
    <row r="3" spans="1:7" ht="15" x14ac:dyDescent="0.2">
      <c r="A3" s="176" t="s">
        <v>366</v>
      </c>
      <c r="B3" s="176"/>
      <c r="C3" s="176"/>
      <c r="D3" s="176"/>
      <c r="E3" s="176"/>
      <c r="F3" s="176"/>
      <c r="G3" s="176"/>
    </row>
    <row r="4" spans="1:7" ht="15" x14ac:dyDescent="0.2">
      <c r="A4" s="118" t="s">
        <v>350</v>
      </c>
      <c r="B4" s="118" t="s">
        <v>351</v>
      </c>
      <c r="C4" s="118" t="s">
        <v>352</v>
      </c>
      <c r="D4" s="118" t="s">
        <v>353</v>
      </c>
      <c r="E4" s="118" t="s">
        <v>354</v>
      </c>
      <c r="F4" s="118" t="s">
        <v>355</v>
      </c>
      <c r="G4" s="118" t="s">
        <v>356</v>
      </c>
    </row>
    <row r="5" spans="1:7" ht="15" x14ac:dyDescent="0.2">
      <c r="A5" s="119">
        <v>1</v>
      </c>
      <c r="B5" s="119" t="s">
        <v>358</v>
      </c>
      <c r="C5" s="119">
        <v>120</v>
      </c>
      <c r="D5" s="120">
        <v>2</v>
      </c>
      <c r="E5" s="119">
        <v>71</v>
      </c>
      <c r="F5" s="119">
        <v>48</v>
      </c>
      <c r="G5" s="119"/>
    </row>
    <row r="6" spans="1:7" ht="15" x14ac:dyDescent="0.2">
      <c r="A6" s="119">
        <v>2</v>
      </c>
      <c r="B6" s="119" t="s">
        <v>359</v>
      </c>
      <c r="C6" s="119">
        <v>70</v>
      </c>
      <c r="D6" s="119" t="s">
        <v>365</v>
      </c>
      <c r="E6" s="119">
        <v>58</v>
      </c>
      <c r="F6" s="119">
        <v>12</v>
      </c>
      <c r="G6" s="119"/>
    </row>
    <row r="7" spans="1:7" ht="15" x14ac:dyDescent="0.2">
      <c r="A7" s="119">
        <v>3</v>
      </c>
      <c r="B7" s="119" t="s">
        <v>360</v>
      </c>
      <c r="C7" s="119">
        <v>189</v>
      </c>
      <c r="D7" s="120">
        <v>2</v>
      </c>
      <c r="E7" s="119">
        <v>128</v>
      </c>
      <c r="F7" s="119">
        <v>59</v>
      </c>
      <c r="G7" s="119"/>
    </row>
    <row r="8" spans="1:7" ht="15" x14ac:dyDescent="0.2">
      <c r="A8" s="119">
        <v>4</v>
      </c>
      <c r="B8" s="119" t="s">
        <v>361</v>
      </c>
      <c r="C8" s="119">
        <v>125</v>
      </c>
      <c r="D8" s="119" t="s">
        <v>365</v>
      </c>
      <c r="E8" s="119">
        <v>91</v>
      </c>
      <c r="F8" s="119">
        <v>34</v>
      </c>
      <c r="G8" s="119"/>
    </row>
    <row r="9" spans="1:7" ht="15" x14ac:dyDescent="0.2">
      <c r="A9" s="119">
        <v>5</v>
      </c>
      <c r="B9" s="119" t="s">
        <v>362</v>
      </c>
      <c r="C9" s="119">
        <v>149</v>
      </c>
      <c r="D9" s="119" t="s">
        <v>365</v>
      </c>
      <c r="E9" s="119">
        <v>115</v>
      </c>
      <c r="F9" s="119">
        <v>34</v>
      </c>
      <c r="G9" s="119"/>
    </row>
    <row r="10" spans="1:7" ht="15" x14ac:dyDescent="0.2">
      <c r="A10" s="119">
        <v>6</v>
      </c>
      <c r="B10" s="119" t="s">
        <v>363</v>
      </c>
      <c r="C10" s="119">
        <v>136</v>
      </c>
      <c r="D10" s="120">
        <v>4</v>
      </c>
      <c r="E10" s="119">
        <v>50</v>
      </c>
      <c r="F10" s="119">
        <v>81</v>
      </c>
      <c r="G10" s="119"/>
    </row>
    <row r="11" spans="1:7" ht="15" x14ac:dyDescent="0.2">
      <c r="A11" s="119">
        <v>7</v>
      </c>
      <c r="B11" s="119" t="s">
        <v>364</v>
      </c>
      <c r="C11" s="119">
        <v>69</v>
      </c>
      <c r="D11" s="119" t="s">
        <v>365</v>
      </c>
      <c r="E11" s="119">
        <v>48</v>
      </c>
      <c r="F11" s="119">
        <v>21</v>
      </c>
      <c r="G11" s="119"/>
    </row>
    <row r="12" spans="1:7" ht="15" x14ac:dyDescent="0.2">
      <c r="A12" s="177" t="s">
        <v>357</v>
      </c>
      <c r="B12" s="178"/>
      <c r="C12" s="116">
        <v>858</v>
      </c>
      <c r="D12" s="117">
        <v>8</v>
      </c>
      <c r="E12" s="116">
        <v>561</v>
      </c>
      <c r="F12" s="116">
        <v>289</v>
      </c>
      <c r="G12" s="115"/>
    </row>
    <row r="13" spans="1:7" x14ac:dyDescent="0.2">
      <c r="E13" s="179" t="s">
        <v>470</v>
      </c>
      <c r="F13" s="179"/>
      <c r="G13" s="179"/>
    </row>
    <row r="14" spans="1:7" x14ac:dyDescent="0.2">
      <c r="E14" s="180"/>
      <c r="F14" s="180"/>
      <c r="G14" s="180"/>
    </row>
  </sheetData>
  <sheetProtection algorithmName="SHA-512" hashValue="XDFnN2HU+cNyT5MJscSsg81Ki1+FaTQgivvqojzszhTiYzLYXJCNyu8i5Hf5gQCEBThgNkerE9ordZC9pOUJkg==" saltValue="Vao5kPLd1Z8VX7W2u/Awaw==" spinCount="100000" sheet="1" formatCells="0" formatColumns="0" formatRows="0" insertColumns="0" insertRows="0" insertHyperlinks="0" deleteColumns="0" deleteRows="0" sort="0" autoFilter="0" pivotTables="0"/>
  <mergeCells count="3">
    <mergeCell ref="A3:G3"/>
    <mergeCell ref="A12:B12"/>
    <mergeCell ref="E13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10</vt:i4>
      </vt:variant>
    </vt:vector>
  </HeadingPairs>
  <TitlesOfParts>
    <vt:vector size="10" baseType="lpstr">
      <vt:lpstr>الرئيسيه</vt:lpstr>
      <vt:lpstr>لجنه التموين</vt:lpstr>
      <vt:lpstr>لجنه البيانات والشؤون الماليه</vt:lpstr>
      <vt:lpstr>لجنه الاعلام والبرنامج والتقنيه</vt:lpstr>
      <vt:lpstr>لجنه الاستقبال والضيافه</vt:lpstr>
      <vt:lpstr>لجنه الساحات والتنظيم</vt:lpstr>
      <vt:lpstr>لجنه الصاله الداخليه</vt:lpstr>
      <vt:lpstr>المساهمات والايداعات والفائض</vt:lpstr>
      <vt:lpstr>المصروفات والايداعات</vt:lpstr>
      <vt:lpstr>أعداد المساهمين من الخوامس</vt:lpstr>
    </vt:vector>
  </TitlesOfParts>
  <Company>SACC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</dc:creator>
  <cp:lastModifiedBy>mohamed alharthi</cp:lastModifiedBy>
  <cp:lastPrinted>2025-06-03T21:12:58Z</cp:lastPrinted>
  <dcterms:created xsi:type="dcterms:W3CDTF">2024-09-11T18:53:06Z</dcterms:created>
  <dcterms:modified xsi:type="dcterms:W3CDTF">2026-08-19T00:44:05Z</dcterms:modified>
</cp:coreProperties>
</file>